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USE" state="visible" r:id="rId4"/>
    <sheet sheetId="2" name="CONFIG" state="visible" r:id="rId5"/>
    <sheet sheetId="3" name="LIST OF POSITIONS" state="visible" r:id="rId6"/>
    <sheet sheetId="4" name="DEFINITION OF TERMS" state="visible" r:id="rId7"/>
    <sheet sheetId="5" name="SUCCESSION PLANNING" state="visible" r:id="rId8"/>
    <sheet sheetId="6" name="SUCCESSOR ASSESSMENT MATRIX" state="visible" r:id="rId9"/>
    <sheet sheetId="7" name="SUCCESSION BENCH" state="visible" r:id="rId10"/>
    <sheet sheetId="8" name="COMPETENCY POSITION PROFILE" state="visible" r:id="rId11"/>
  </sheets>
  <calcPr calcId="171027"/>
</workbook>
</file>

<file path=xl/sharedStrings.xml><?xml version="1.0" encoding="utf-8"?>
<sst xmlns="http://schemas.openxmlformats.org/spreadsheetml/2006/main" count="318" uniqueCount="274">
  <si>
    <t>Succession Planning Toolkit</t>
  </si>
  <si>
    <t>Strategnosis Solutions OPC — free edition</t>
  </si>
  <si>
    <t>What this workbook does</t>
  </si>
  <si>
    <t>It takes you from a list of positions to a defensible answer for two questions: which roles would hurt most if they emptied tomorrow, and who is actually ready to step into them.</t>
  </si>
  <si>
    <t>Fill the sheets in this order</t>
  </si>
  <si>
    <t>1. LIST OF POSITIONS</t>
  </si>
  <si>
    <t>Replace the sample plantilla with your own positions and salary grades.</t>
  </si>
  <si>
    <t>2. SUCCESSION PLANNING</t>
  </si>
  <si>
    <t>For each position: headcount, vacancies, and the three criticality factors. Criticality level is computed.</t>
  </si>
  <si>
    <t>3. SUCCESSOR ASSESSMENT MATRIX</t>
  </si>
  <si>
    <t>Name candidates against a target position and rate them 1–4 on seven criteria. Match % and readiness are computed.</t>
  </si>
  <si>
    <t>4. SUCCESSION BENCH</t>
  </si>
  <si>
    <t>Nothing to fill in. Depth and strength count themselves from the matrix.</t>
  </si>
  <si>
    <t>5. COMPETENCY POSITION PROFILE</t>
  </si>
  <si>
    <t>Optional. Required vs assessed competency levels for one position at a time.</t>
  </si>
  <si>
    <t>Which cells to type in</t>
  </si>
  <si>
    <t>Yellow fill, blue text</t>
  </si>
  <si>
    <t>Type here. These are your inputs.</t>
  </si>
  <si>
    <t>White fill, black text</t>
  </si>
  <si>
    <t>Computed by formula. Typing over these breaks the sheet.</t>
  </si>
  <si>
    <t>CONFIG sheet</t>
  </si>
  <si>
    <t>Scoring thresholds. Change them there and every sheet follows.</t>
  </si>
  <si>
    <t>Sample data</t>
  </si>
  <si>
    <t>Row 2 of SUCCESSION PLANNING and the first three rows of the assessment matrix are filled with example values so you can see the scoring work end to end. Clear them before entering real data.</t>
  </si>
  <si>
    <t>Where the thresholds came from</t>
  </si>
  <si>
    <t>Readiness bands (100% / 80% / 50%) are the ones defined in the source template. The criticality bands on CONFIG are a starting point, not a standard — expect to lower them once you can see how your own scores distribute. Ready Now at 100% requires a perfect rating on all seven criteria, so an empty Ready Now column early on is the definition working as written, not a mistake.</t>
  </si>
  <si>
    <t>Questions about applying this to your organization: strategnosissolutions@gmail.com</t>
  </si>
  <si>
    <t>SCORING CONFIGURATION</t>
  </si>
  <si>
    <t>Criticality scoring</t>
  </si>
  <si>
    <t>Value</t>
  </si>
  <si>
    <t>Note</t>
  </si>
  <si>
    <t>Number of criticality factors</t>
  </si>
  <si>
    <t>Revenue generating, risk exposure, specialization.</t>
  </si>
  <si>
    <t>Maximum rating per factor</t>
  </si>
  <si>
    <t>Each factor is rated 1–5.</t>
  </si>
  <si>
    <t>Maximum possible criticality score</t>
  </si>
  <si>
    <t>Computed. Used only as a reference for setting the bands below.</t>
  </si>
  <si>
    <t>Highly Critical — minimum score</t>
  </si>
  <si>
    <t>Very high organizational impact and replacement difficulty.</t>
  </si>
  <si>
    <t>Critical — minimum score</t>
  </si>
  <si>
    <t>Significant operational or strategic importance.</t>
  </si>
  <si>
    <t>Moderately Critical — minimum score</t>
  </si>
  <si>
    <t>Anything below this scores as Noncritical.</t>
  </si>
  <si>
    <t>Successor readiness</t>
  </si>
  <si>
    <t>Number of successor criteria</t>
  </si>
  <si>
    <t>Qualification standards through degree of likability.</t>
  </si>
  <si>
    <t>Maximum rating per criterion</t>
  </si>
  <si>
    <t>Each criterion is rated 1–4.</t>
  </si>
  <si>
    <t>Maximum possible points</t>
  </si>
  <si>
    <t>Computed. The denominator behind every Overall Match percentage.</t>
  </si>
  <si>
    <t>Ready Now — minimum match</t>
  </si>
  <si>
    <t>Match All. A perfect rating on every criterion.</t>
  </si>
  <si>
    <t>Ready Soon — minimum match</t>
  </si>
  <si>
    <t>Match Most. Short-term development, under 2 years.</t>
  </si>
  <si>
    <t>Ready Later — minimum match</t>
  </si>
  <si>
    <t>Match Some. Long-term development, 3 years or more.</t>
  </si>
  <si>
    <t>Anything below the Ready Later floor is classed Not Ready — a gap that cannot presently be closed through development.</t>
  </si>
  <si>
    <t>Position</t>
  </si>
  <si>
    <t>SG</t>
  </si>
  <si>
    <t>Executive Director</t>
  </si>
  <si>
    <t>Deputy Executive Director</t>
  </si>
  <si>
    <t>Department Manager III</t>
  </si>
  <si>
    <t>Legal Officer V</t>
  </si>
  <si>
    <t>Chief Administrative Officer</t>
  </si>
  <si>
    <t>Chief Information Officer</t>
  </si>
  <si>
    <t>Internal Auditor V</t>
  </si>
  <si>
    <t>Planning Officer V</t>
  </si>
  <si>
    <t>Legal Officer IV</t>
  </si>
  <si>
    <t>Division Chief</t>
  </si>
  <si>
    <t>Information Technology Officer II</t>
  </si>
  <si>
    <t>Internal Auditor IV</t>
  </si>
  <si>
    <t>Planning Officer IV</t>
  </si>
  <si>
    <t>Supervising Administrative Officer</t>
  </si>
  <si>
    <t>Legal Officer III</t>
  </si>
  <si>
    <t>Board Secretary III</t>
  </si>
  <si>
    <t>Executive Assistant III</t>
  </si>
  <si>
    <t>Accountant III</t>
  </si>
  <si>
    <t>Administrative Officer V (Human Resource Management Officer III)</t>
  </si>
  <si>
    <t>Administrative Officer V (Budget Officer III)</t>
  </si>
  <si>
    <t>Administrative Officer V (Cashier III)</t>
  </si>
  <si>
    <t>Internal Auditor III</t>
  </si>
  <si>
    <t>Planning Officer III</t>
  </si>
  <si>
    <t>Senior Program Specialist</t>
  </si>
  <si>
    <t>Accountant II</t>
  </si>
  <si>
    <t>Information Systems Analyst II</t>
  </si>
  <si>
    <t>Administrative Officer IV (Budget Officer II)</t>
  </si>
  <si>
    <t>Program Specialist II</t>
  </si>
  <si>
    <t>Statistician II</t>
  </si>
  <si>
    <t>Administrative Officer III (Records Officer II)</t>
  </si>
  <si>
    <t>Administrative Officer III (Supply Officer II)</t>
  </si>
  <si>
    <t>Administrative Assistant V</t>
  </si>
  <si>
    <t>Program Specialist I</t>
  </si>
  <si>
    <t>Administrative Assistant II (Bookkeeper)</t>
  </si>
  <si>
    <t>Administrative Assistant I</t>
  </si>
  <si>
    <t>Administrative Aide VI (Clerk III)</t>
  </si>
  <si>
    <t>Administrative Aide IV (Driver II)</t>
  </si>
  <si>
    <t>Administrative Aide I (Utility Worker I)</t>
  </si>
  <si>
    <t>Term</t>
  </si>
  <si>
    <t>Definition</t>
  </si>
  <si>
    <t>Approved Position</t>
  </si>
  <si>
    <t>Authorized plantilla position approved for the organization.</t>
  </si>
  <si>
    <t>Approved Positions (Based on Plantilla)</t>
  </si>
  <si>
    <t>Total number of authorized positions under the approved plantilla.</t>
  </si>
  <si>
    <t>Available Workforce (Filled Positions)</t>
  </si>
  <si>
    <t>Number of plantilla positions currently occupied by employees.</t>
  </si>
  <si>
    <t>Existing Vacancies</t>
  </si>
  <si>
    <t>Positions currently vacant and available for hiring or appointment.</t>
  </si>
  <si>
    <t>Potential Vacancies</t>
  </si>
  <si>
    <t>Positions projected to become vacant due to retirement, promotion, transfer, resignation, study leave, non-renewal of contract, or other workforce movements.</t>
  </si>
  <si>
    <t>Total Vacancy</t>
  </si>
  <si>
    <t>Combined total of existing and potential vacancies.</t>
  </si>
  <si>
    <t>Performance Trend</t>
  </si>
  <si>
    <t>General performance rating trend of incumbents occupying the position.</t>
  </si>
  <si>
    <t>O (Outstanding)</t>
  </si>
  <si>
    <t>Highest level of performance, consistently exceeding expected standards.</t>
  </si>
  <si>
    <t>VS (Very Satisfactory)</t>
  </si>
  <si>
    <t>Performance frequently exceeds expected standards.</t>
  </si>
  <si>
    <t>S (Satisfactory)</t>
  </si>
  <si>
    <t>Performance meets expected standards.</t>
  </si>
  <si>
    <t>US (Unsatisfactory)</t>
  </si>
  <si>
    <t>Performance does not meet expected standards.</t>
  </si>
  <si>
    <t>Competency Level</t>
  </si>
  <si>
    <t>Degree to which the incumbent demonstrates the competencies required for the position.</t>
  </si>
  <si>
    <t>Revenue Generating</t>
  </si>
  <si>
    <t>Measure of the position's contribution to income or revenue-related operations.</t>
  </si>
  <si>
    <t>Risk Exposure</t>
  </si>
  <si>
    <t>Degree of organizational risk associated with vacancy or failure in the position.</t>
  </si>
  <si>
    <t>Specialization</t>
  </si>
  <si>
    <t>Extent of technical expertise, eligibility, licensing, or specialized training required for the position.</t>
  </si>
  <si>
    <t>Total Criticality Score</t>
  </si>
  <si>
    <t>Sum of the revenue generating, risk exposure, and specialization ratings, used to determine position criticality.</t>
  </si>
  <si>
    <t>Critical Position Level</t>
  </si>
  <si>
    <t>Classification of a position based on its organizational importance and replacement difficulty.</t>
  </si>
  <si>
    <t>Highly Critical</t>
  </si>
  <si>
    <t>Position with very high organizational impact and replacement difficulty.</t>
  </si>
  <si>
    <t>Critical</t>
  </si>
  <si>
    <t>Position with significant operational or strategic importance.</t>
  </si>
  <si>
    <t>Moderately Critical</t>
  </si>
  <si>
    <t>Position with moderate operational importance and replacement difficulty.</t>
  </si>
  <si>
    <t>Noncritical</t>
  </si>
  <si>
    <t>Position with minimal operational disruption risk when vacant.</t>
  </si>
  <si>
    <t>Potential Successor</t>
  </si>
  <si>
    <t>Employee identified as a possible replacement for a critical position.</t>
  </si>
  <si>
    <t>Qualification Standards</t>
  </si>
  <si>
    <t>Required education, eligibility, training, and experience standards for the position.</t>
  </si>
  <si>
    <t>Competencies</t>
  </si>
  <si>
    <t>Knowledge, skills, abilities, and behaviours required for effective job performance.</t>
  </si>
  <si>
    <t>Performance</t>
  </si>
  <si>
    <t>Sustained level of work accomplishment and achievement of expected outputs.</t>
  </si>
  <si>
    <t>Learning Agility</t>
  </si>
  <si>
    <t>Ability to quickly learn, adapt, and apply new knowledge or responsibilities.</t>
  </si>
  <si>
    <t>Commitment to Work</t>
  </si>
  <si>
    <t>Degree of dedication, accountability, and engagement demonstrated toward assigned responsibilities.</t>
  </si>
  <si>
    <t>Loyalty</t>
  </si>
  <si>
    <t>Degree of organizational commitment and support demonstrated by the employee.</t>
  </si>
  <si>
    <t>Degree of Likability</t>
  </si>
  <si>
    <t>Extent to which the employee maintains positive interpersonal relationships and workplace rapport.</t>
  </si>
  <si>
    <t>Overall Match</t>
  </si>
  <si>
    <t>Percentage score reflecting a candidate’s overall alignment against the successor criteria.</t>
  </si>
  <si>
    <t>Readiness Status</t>
  </si>
  <si>
    <t>Classification of a successor candidate’s preparedness to assume a target position.</t>
  </si>
  <si>
    <t>Ready Now</t>
  </si>
  <si>
    <t>Candidate currently capable of immediately assuming the position.</t>
  </si>
  <si>
    <t>Ready Soon</t>
  </si>
  <si>
    <t>Candidate capable of assuming the position after short-term development, usually within 2 years.</t>
  </si>
  <si>
    <t>Ready Later</t>
  </si>
  <si>
    <t>Candidate requiring long-term development before assuming the position.</t>
  </si>
  <si>
    <t>Not Ready</t>
  </si>
  <si>
    <t>Candidate currently lacking sufficient qualifications or readiness for the position.</t>
  </si>
  <si>
    <t>Depth</t>
  </si>
  <si>
    <t>Total number of viable successor candidates for a position — Ready Now, Ready Soon, and Ready Later combined.</t>
  </si>
  <si>
    <t>Strength</t>
  </si>
  <si>
    <t>Number of successor candidates assessed as Ready Now.</t>
  </si>
  <si>
    <t>#</t>
  </si>
  <si>
    <t>Approved Positions (Plantilla)</t>
  </si>
  <si>
    <t>Available Workforce (Filled)</t>
  </si>
  <si>
    <t>Criteria / Remarks</t>
  </si>
  <si>
    <t>VS</t>
  </si>
  <si>
    <t>Meeting</t>
  </si>
  <si>
    <t>EXAMPLE ROW — incumbent retires in 14 months. Clear before entering your own data.</t>
  </si>
  <si>
    <t>TOTAL</t>
  </si>
  <si>
    <t>Highly Critical positions</t>
  </si>
  <si>
    <t>Critical positions</t>
  </si>
  <si>
    <t>Target Position</t>
  </si>
  <si>
    <t>A. Dela Cruz (example)</t>
  </si>
  <si>
    <t>B. Santos (example)</t>
  </si>
  <si>
    <t>C. Reyes (example)</t>
  </si>
  <si>
    <t>RATING SCALE</t>
  </si>
  <si>
    <t>1 — Meets none</t>
  </si>
  <si>
    <t>2 — Meets some</t>
  </si>
  <si>
    <t>3 — Meets most</t>
  </si>
  <si>
    <t>4 — Meets all</t>
  </si>
  <si>
    <t>2 — Meets 50%</t>
  </si>
  <si>
    <t>3 — Meets 75%</t>
  </si>
  <si>
    <t>4 — Meets all or exceeds</t>
  </si>
  <si>
    <t>1 — Not a high performer</t>
  </si>
  <si>
    <t>2 — High performer, 1 period</t>
  </si>
  <si>
    <t>3 — High performer, 2 periods</t>
  </si>
  <si>
    <t>4 — High performer, 4 periods</t>
  </si>
  <si>
    <t>1 — Resistant to learning</t>
  </si>
  <si>
    <t>2 — Learns with difficulty</t>
  </si>
  <si>
    <t>3 — Learns adequately</t>
  </si>
  <si>
    <t>4 — Learns quickly, adapts well</t>
  </si>
  <si>
    <t>1 — Frequently disengaged</t>
  </si>
  <si>
    <t>2 — Minimum duties only</t>
  </si>
  <si>
    <t>3 — Demonstrates commitment</t>
  </si>
  <si>
    <t>4 — Highly committed, exceeds</t>
  </si>
  <si>
    <t>1 — High level of disloyalty</t>
  </si>
  <si>
    <t>2 — Some disloyalty</t>
  </si>
  <si>
    <t>3 — Some loyalty</t>
  </si>
  <si>
    <t>4 — High level of loyalty</t>
  </si>
  <si>
    <t>1 — Not likable</t>
  </si>
  <si>
    <t>2 — Somewhat not likable</t>
  </si>
  <si>
    <t>3 — Somewhat likable</t>
  </si>
  <si>
    <t>4 — Very likable</t>
  </si>
  <si>
    <t>Loyalty and degree of likability are the two criteria hardest to defend if a promotion decision is ever contested. Record in writing why a rating was given on either before it counts toward a readiness band.</t>
  </si>
  <si>
    <t>Bench Risk</t>
  </si>
  <si>
    <t>BENCH INTERPRETATION</t>
  </si>
  <si>
    <t>Total viable successors — Ready Now, Ready Soon, and Ready Later combined.</t>
  </si>
  <si>
    <t>Successors assessed as Ready Now.</t>
  </si>
  <si>
    <t>Critical role, no bench</t>
  </si>
  <si>
    <t>A position scored Critical or Highly Critical with no viable successor at all. This is the row that should start the conversation.</t>
  </si>
  <si>
    <t>POSITION NAME</t>
  </si>
  <si>
    <t>SALARY GRADE</t>
  </si>
  <si>
    <t>Code</t>
  </si>
  <si>
    <t>Competency</t>
  </si>
  <si>
    <t>Required Level</t>
  </si>
  <si>
    <t>Assessed Rating</t>
  </si>
  <si>
    <t>Gap</t>
  </si>
  <si>
    <t>Status</t>
  </si>
  <si>
    <t>C1</t>
  </si>
  <si>
    <t>Delivering Service Excellence</t>
  </si>
  <si>
    <t>C2</t>
  </si>
  <si>
    <t>Exemplifying Integrity</t>
  </si>
  <si>
    <t>C3</t>
  </si>
  <si>
    <t>Solving Problems and Making Decisions</t>
  </si>
  <si>
    <t>C4</t>
  </si>
  <si>
    <t>Demonstrating Personal Effectiveness</t>
  </si>
  <si>
    <t>C5</t>
  </si>
  <si>
    <t>Speaking Effectively</t>
  </si>
  <si>
    <t>C6</t>
  </si>
  <si>
    <t>Writing Effectively</t>
  </si>
  <si>
    <t>C7</t>
  </si>
  <si>
    <t>Championing and Applying Innovation</t>
  </si>
  <si>
    <t>L1</t>
  </si>
  <si>
    <t>Leading People</t>
  </si>
  <si>
    <t>L2</t>
  </si>
  <si>
    <t>Building Collaborative Networks</t>
  </si>
  <si>
    <t>L3</t>
  </si>
  <si>
    <t>Managing Performance and Coaching for Results</t>
  </si>
  <si>
    <t>L4</t>
  </si>
  <si>
    <t>Thinking Strategically and Creatively</t>
  </si>
  <si>
    <t>L5</t>
  </si>
  <si>
    <t>Creating and Nurturing a High-Performing Organization</t>
  </si>
  <si>
    <t>F1</t>
  </si>
  <si>
    <t>Workforce Planning</t>
  </si>
  <si>
    <t>F2</t>
  </si>
  <si>
    <t>Recruitment and Selection</t>
  </si>
  <si>
    <t>F3</t>
  </si>
  <si>
    <t>Learning and Development</t>
  </si>
  <si>
    <t>F4</t>
  </si>
  <si>
    <t>Performance Management</t>
  </si>
  <si>
    <t>F5</t>
  </si>
  <si>
    <t>Rewards and Recognition</t>
  </si>
  <si>
    <t>F6</t>
  </si>
  <si>
    <t>Records and Information Management</t>
  </si>
  <si>
    <t>F7</t>
  </si>
  <si>
    <t>Budgeting and Financial Management</t>
  </si>
  <si>
    <t>F8</t>
  </si>
  <si>
    <t>Procurement and Supply Management</t>
  </si>
  <si>
    <t>Competencies assessed</t>
  </si>
  <si>
    <t>Meeting the required level</t>
  </si>
  <si>
    <t>Profile match</t>
  </si>
  <si>
    <t>A negative gap is the development agenda: it names the competency, the size of the shortfall, and therefore what training would actually change the readiness band on the assessment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</si>
</sst>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1E293B"/>
      <sz val="18"/>
      <name val="Arial"/>
    </font>
    <font>
      <color rgb="4F46E5"/>
      <sz val="11"/>
      <name val="Arial"/>
    </font>
    <font>
      <b/>
      <color rgb="000000"/>
      <sz val="10"/>
      <name val="Arial"/>
    </font>
    <font>
      <color rgb="000000"/>
      <sz val="10"/>
      <name val="Arial"/>
    </font>
    <font>
      <b/>
      <color rgb="0000FF"/>
      <sz val="10"/>
      <name val="Arial"/>
    </font>
    <font>
      <i/>
      <color rgb="64748B"/>
      <sz val="9"/>
      <name val="Arial"/>
    </font>
    <font>
      <color rgb="4F46E5"/>
      <sz val="10"/>
      <name val="Arial"/>
    </font>
    <font>
      <b/>
      <color rgb="000000"/>
      <sz val="14"/>
      <name val="Arial"/>
    </font>
    <font>
      <color rgb="0000FF"/>
      <sz val="10"/>
      <name val="Arial"/>
    </font>
    <font>
      <b/>
      <color rgb="FFFFFF"/>
      <sz val="10"/>
      <name val="Arial"/>
    </font>
  </fonts>
  <fills count="5">
    <fill>
      <patternFill patternType="none"/>
    </fill>
    <fill>
      <patternFill patternType="gray125"/>
    </fill>
    <fill>
      <patternFill patternType="solid">
        <fgColor rgb="FFF9C4"/>
      </patternFill>
    </fill>
    <fill>
      <patternFill patternType="solid">
        <fgColor rgb="E2E8F0"/>
      </patternFill>
    </fill>
    <fill>
      <patternFill patternType="solid">
        <fgColor rgb="1E293B"/>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4" fillId="0" borderId="0" xfId="0" applyFont="1" applyAlignment="1">
      <alignment horizontal="left"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5" fillId="2" borderId="1" xfId="0" applyFont="1" applyFill="1" applyBorder="1" applyAlignment="1">
      <alignment horizontal="left" vertical="center"/>
    </xf>
    <xf numFmtId="0" fontId="3" fillId="0" borderId="0" xfId="0" applyFont="1"/>
    <xf numFmtId="0" fontId="6" fillId="0" borderId="0" xfId="0" applyFont="1" applyAlignment="1">
      <alignment vertical="top" wrapText="1"/>
    </xf>
    <xf numFmtId="0" fontId="7" fillId="0" borderId="0" xfId="0" applyFont="1"/>
    <xf numFmtId="0" fontId="8" fillId="0" borderId="0" xfId="0" applyFont="1"/>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4" fillId="0" borderId="1" xfId="0" applyFont="1" applyBorder="1" applyAlignment="1">
      <alignment horizontal="left" vertical="center"/>
    </xf>
    <xf numFmtId="0" fontId="9" fillId="2" borderId="1" xfId="0" applyFont="1" applyFill="1" applyBorder="1" applyAlignment="1">
      <alignment horizontal="center" vertical="center"/>
    </xf>
    <xf numFmtId="0" fontId="4" fillId="0" borderId="1" xfId="0" applyFont="1" applyBorder="1" applyAlignment="1">
      <alignment horizontal="center" vertical="center"/>
    </xf>
    <xf numFmtId="9" fontId="9" fillId="2" borderId="1" xfId="0" applyNumberFormat="1" applyFont="1" applyFill="1" applyBorder="1" applyAlignment="1">
      <alignment horizontal="center" vertical="center"/>
    </xf>
    <xf numFmtId="0" fontId="6" fillId="0" borderId="0" xfId="0" applyFont="1"/>
    <xf numFmtId="0" fontId="10" fillId="4" borderId="1" xfId="0" applyFont="1" applyFill="1" applyBorder="1" applyAlignment="1">
      <alignment horizontal="center" vertical="center" wrapText="1"/>
    </xf>
    <xf numFmtId="0" fontId="9" fillId="2" borderId="1" xfId="0" applyFont="1" applyFill="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3" borderId="1" xfId="0" applyFont="1" applyFill="1" applyBorder="1" applyAlignment="1">
      <alignment horizontal="right" vertical="center"/>
    </xf>
    <xf numFmtId="9" fontId="3"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F46E5"/>
  </sheetPr>
  <dimension ref="B2:C28"/>
  <sheetFormatPr defaultRowHeight="15" outlineLevelRow="0" outlineLevelCol="0" x14ac:dyDescent="55"/>
  <cols>
    <col min="1" max="1" width="4" customWidth="1"/>
    <col min="2" max="2" width="34" customWidth="1"/>
    <col min="3" max="3" width="78" customWidth="1"/>
  </cols>
  <sheetData>
    <row r="2" spans="2:2" x14ac:dyDescent="0.25">
      <c r="B2" s="1" t="s">
        <v>0</v>
      </c>
    </row>
    <row r="3" spans="2:2" x14ac:dyDescent="0.25">
      <c r="B3" s="2" t="s">
        <v>1</v>
      </c>
    </row>
    <row r="5" spans="2:2" x14ac:dyDescent="0.25">
      <c r="B5" s="3" t="s">
        <v>2</v>
      </c>
    </row>
    <row r="6" ht="30" customHeight="1" spans="2:3" x14ac:dyDescent="0.25">
      <c r="B6" s="4" t="s">
        <v>3</v>
      </c>
      <c r="C6" s="4"/>
    </row>
    <row r="8" spans="2:2" x14ac:dyDescent="0.25">
      <c r="B8" s="3" t="s">
        <v>4</v>
      </c>
    </row>
    <row r="9" ht="26" customHeight="1" spans="2:3" x14ac:dyDescent="0.25">
      <c r="B9" s="5" t="s">
        <v>5</v>
      </c>
      <c r="C9" s="6" t="s">
        <v>6</v>
      </c>
    </row>
    <row r="10" ht="26" customHeight="1" spans="2:3" x14ac:dyDescent="0.25">
      <c r="B10" s="5" t="s">
        <v>7</v>
      </c>
      <c r="C10" s="6" t="s">
        <v>8</v>
      </c>
    </row>
    <row r="11" ht="26" customHeight="1" spans="2:3" x14ac:dyDescent="0.25">
      <c r="B11" s="5" t="s">
        <v>9</v>
      </c>
      <c r="C11" s="6" t="s">
        <v>10</v>
      </c>
    </row>
    <row r="12" ht="26" customHeight="1" spans="2:3" x14ac:dyDescent="0.25">
      <c r="B12" s="5" t="s">
        <v>11</v>
      </c>
      <c r="C12" s="6" t="s">
        <v>12</v>
      </c>
    </row>
    <row r="13" ht="26" customHeight="1" spans="2:3" x14ac:dyDescent="0.25">
      <c r="B13" s="5" t="s">
        <v>13</v>
      </c>
      <c r="C13" s="6" t="s">
        <v>14</v>
      </c>
    </row>
    <row r="15" spans="2:2" x14ac:dyDescent="0.25">
      <c r="B15" s="3" t="s">
        <v>15</v>
      </c>
    </row>
    <row r="16" spans="2:3" x14ac:dyDescent="0.25">
      <c r="B16" s="7" t="s">
        <v>16</v>
      </c>
      <c r="C16" s="6" t="s">
        <v>17</v>
      </c>
    </row>
    <row r="17" spans="2:3" x14ac:dyDescent="0.25">
      <c r="B17" s="5" t="s">
        <v>18</v>
      </c>
      <c r="C17" s="6" t="s">
        <v>19</v>
      </c>
    </row>
    <row r="18" spans="2:3" x14ac:dyDescent="0.25">
      <c r="B18" s="5" t="s">
        <v>20</v>
      </c>
      <c r="C18" s="6" t="s">
        <v>21</v>
      </c>
    </row>
    <row r="20" spans="2:2" x14ac:dyDescent="0.25">
      <c r="B20" s="3" t="s">
        <v>22</v>
      </c>
    </row>
    <row r="21" ht="30" customHeight="1" spans="2:3" x14ac:dyDescent="0.25">
      <c r="B21" s="4" t="s">
        <v>23</v>
      </c>
      <c r="C21" s="4"/>
    </row>
    <row r="24" spans="2:2" x14ac:dyDescent="0.25">
      <c r="B24" s="8" t="s">
        <v>24</v>
      </c>
    </row>
    <row r="25" ht="30" customHeight="1" spans="2:3" x14ac:dyDescent="0.25">
      <c r="B25" s="9" t="s">
        <v>25</v>
      </c>
      <c r="C25" s="9"/>
    </row>
    <row r="26" spans="2:3" x14ac:dyDescent="0.25">
      <c r="B26" s="9"/>
      <c r="C26" s="9"/>
    </row>
    <row r="28" spans="2:2" x14ac:dyDescent="0.25">
      <c r="B28" s="10" t="s">
        <v>26</v>
      </c>
    </row>
  </sheetData>
  <mergeCells count="3">
    <mergeCell ref="B6:C6"/>
    <mergeCell ref="B21:C21"/>
    <mergeCell ref="B25:C2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64748B"/>
  </sheetPr>
  <dimension ref="B2:D19"/>
  <sheetFormatPr defaultRowHeight="15" outlineLevelRow="0" outlineLevelCol="0" x14ac:dyDescent="55"/>
  <cols>
    <col min="1" max="1" width="4" customWidth="1"/>
    <col min="2" max="2" width="46" customWidth="1"/>
    <col min="3" max="3" width="16" customWidth="1"/>
    <col min="4" max="4" width="56" customWidth="1"/>
  </cols>
  <sheetData>
    <row r="2" spans="2:2" x14ac:dyDescent="0.25">
      <c r="B2" s="11" t="s">
        <v>27</v>
      </c>
    </row>
    <row r="3" spans="2:4" x14ac:dyDescent="0.25">
      <c r="B3" s="12" t="s">
        <v>28</v>
      </c>
      <c r="C3" s="13" t="s">
        <v>29</v>
      </c>
      <c r="D3" s="12" t="s">
        <v>30</v>
      </c>
    </row>
    <row r="4" spans="2:4" x14ac:dyDescent="0.25">
      <c r="B4" s="14" t="s">
        <v>31</v>
      </c>
      <c r="C4" s="15">
        <v>3</v>
      </c>
      <c r="D4" s="6" t="s">
        <v>32</v>
      </c>
    </row>
    <row r="5" spans="2:4" x14ac:dyDescent="0.25">
      <c r="B5" s="14" t="s">
        <v>33</v>
      </c>
      <c r="C5" s="15">
        <v>5</v>
      </c>
      <c r="D5" s="6" t="s">
        <v>34</v>
      </c>
    </row>
    <row r="6" spans="2:4" x14ac:dyDescent="0.25">
      <c r="B6" s="14" t="s">
        <v>35</v>
      </c>
      <c r="C6" s="16">
        <f>C4*C5</f>
      </c>
      <c r="D6" s="6" t="s">
        <v>36</v>
      </c>
    </row>
    <row r="7" spans="2:4" x14ac:dyDescent="0.25">
      <c r="B7" s="14" t="s">
        <v>37</v>
      </c>
      <c r="C7" s="15">
        <v>13</v>
      </c>
      <c r="D7" s="6" t="s">
        <v>38</v>
      </c>
    </row>
    <row r="8" spans="2:4" x14ac:dyDescent="0.25">
      <c r="B8" s="14" t="s">
        <v>39</v>
      </c>
      <c r="C8" s="15">
        <v>10</v>
      </c>
      <c r="D8" s="6" t="s">
        <v>40</v>
      </c>
    </row>
    <row r="9" spans="2:4" x14ac:dyDescent="0.25">
      <c r="B9" s="14" t="s">
        <v>41</v>
      </c>
      <c r="C9" s="15">
        <v>7</v>
      </c>
      <c r="D9" s="6" t="s">
        <v>42</v>
      </c>
    </row>
    <row r="11" spans="2:4" x14ac:dyDescent="0.25">
      <c r="B11" s="12" t="s">
        <v>43</v>
      </c>
      <c r="C11" s="13" t="s">
        <v>29</v>
      </c>
      <c r="D11" s="12" t="s">
        <v>30</v>
      </c>
    </row>
    <row r="12" spans="2:4" x14ac:dyDescent="0.25">
      <c r="B12" s="14" t="s">
        <v>44</v>
      </c>
      <c r="C12" s="15">
        <v>7</v>
      </c>
      <c r="D12" s="6" t="s">
        <v>45</v>
      </c>
    </row>
    <row r="13" spans="2:4" x14ac:dyDescent="0.25">
      <c r="B13" s="14" t="s">
        <v>46</v>
      </c>
      <c r="C13" s="15">
        <v>4</v>
      </c>
      <c r="D13" s="6" t="s">
        <v>47</v>
      </c>
    </row>
    <row r="14" spans="2:4" x14ac:dyDescent="0.25">
      <c r="B14" s="14" t="s">
        <v>48</v>
      </c>
      <c r="C14" s="16">
        <f>C12*C13</f>
      </c>
      <c r="D14" s="6" t="s">
        <v>49</v>
      </c>
    </row>
    <row r="15" spans="2:4" x14ac:dyDescent="0.25">
      <c r="B15" s="14" t="s">
        <v>50</v>
      </c>
      <c r="C15" s="17">
        <v>1</v>
      </c>
      <c r="D15" s="6" t="s">
        <v>51</v>
      </c>
    </row>
    <row r="16" spans="2:4" x14ac:dyDescent="0.25">
      <c r="B16" s="14" t="s">
        <v>52</v>
      </c>
      <c r="C16" s="17">
        <v>0.8</v>
      </c>
      <c r="D16" s="6" t="s">
        <v>53</v>
      </c>
    </row>
    <row r="17" spans="2:4" x14ac:dyDescent="0.25">
      <c r="B17" s="14" t="s">
        <v>54</v>
      </c>
      <c r="C17" s="17">
        <v>0.5</v>
      </c>
      <c r="D17" s="6" t="s">
        <v>55</v>
      </c>
    </row>
    <row r="19" spans="2:4" x14ac:dyDescent="0.25">
      <c r="B19" s="18" t="s">
        <v>56</v>
      </c>
      <c r="C19" s="18"/>
      <c r="D19" s="18"/>
    </row>
  </sheetData>
  <mergeCells count="1">
    <mergeCell ref="B19:D1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9"/>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62" customWidth="1"/>
    <col min="3" max="3" width="10" customWidth="1"/>
  </cols>
  <sheetData>
    <row r="1" ht="34" customHeight="1" spans="2:3" x14ac:dyDescent="0.25">
      <c r="B1" s="19" t="s">
        <v>57</v>
      </c>
      <c r="C1" s="19" t="s">
        <v>58</v>
      </c>
    </row>
    <row r="2" spans="2:3" x14ac:dyDescent="0.25">
      <c r="B2" s="20" t="s">
        <v>59</v>
      </c>
      <c r="C2" s="15">
        <v>28</v>
      </c>
    </row>
    <row r="3" spans="2:3" x14ac:dyDescent="0.25">
      <c r="B3" s="20" t="s">
        <v>60</v>
      </c>
      <c r="C3" s="15">
        <v>27</v>
      </c>
    </row>
    <row r="4" spans="2:3" x14ac:dyDescent="0.25">
      <c r="B4" s="20" t="s">
        <v>61</v>
      </c>
      <c r="C4" s="15">
        <v>26</v>
      </c>
    </row>
    <row r="5" spans="2:3" x14ac:dyDescent="0.25">
      <c r="B5" s="20" t="s">
        <v>62</v>
      </c>
      <c r="C5" s="15">
        <v>25</v>
      </c>
    </row>
    <row r="6" spans="2:3" x14ac:dyDescent="0.25">
      <c r="B6" s="20" t="s">
        <v>63</v>
      </c>
      <c r="C6" s="15">
        <v>24</v>
      </c>
    </row>
    <row r="7" spans="2:3" x14ac:dyDescent="0.25">
      <c r="B7" s="20" t="s">
        <v>64</v>
      </c>
      <c r="C7" s="15">
        <v>24</v>
      </c>
    </row>
    <row r="8" spans="2:3" x14ac:dyDescent="0.25">
      <c r="B8" s="20" t="s">
        <v>65</v>
      </c>
      <c r="C8" s="15">
        <v>24</v>
      </c>
    </row>
    <row r="9" spans="2:3" x14ac:dyDescent="0.25">
      <c r="B9" s="20" t="s">
        <v>66</v>
      </c>
      <c r="C9" s="15">
        <v>24</v>
      </c>
    </row>
    <row r="10" spans="2:3" x14ac:dyDescent="0.25">
      <c r="B10" s="20" t="s">
        <v>67</v>
      </c>
      <c r="C10" s="15">
        <v>23</v>
      </c>
    </row>
    <row r="11" spans="2:3" x14ac:dyDescent="0.25">
      <c r="B11" s="20" t="s">
        <v>68</v>
      </c>
      <c r="C11" s="15">
        <v>22</v>
      </c>
    </row>
    <row r="12" spans="2:3" x14ac:dyDescent="0.25">
      <c r="B12" s="20" t="s">
        <v>69</v>
      </c>
      <c r="C12" s="15">
        <v>22</v>
      </c>
    </row>
    <row r="13" spans="2:3" x14ac:dyDescent="0.25">
      <c r="B13" s="20" t="s">
        <v>70</v>
      </c>
      <c r="C13" s="15">
        <v>22</v>
      </c>
    </row>
    <row r="14" spans="2:3" x14ac:dyDescent="0.25">
      <c r="B14" s="20" t="s">
        <v>71</v>
      </c>
      <c r="C14" s="15">
        <v>22</v>
      </c>
    </row>
    <row r="15" spans="2:3" x14ac:dyDescent="0.25">
      <c r="B15" s="20" t="s">
        <v>72</v>
      </c>
      <c r="C15" s="15">
        <v>22</v>
      </c>
    </row>
    <row r="16" spans="2:3" x14ac:dyDescent="0.25">
      <c r="B16" s="20" t="s">
        <v>73</v>
      </c>
      <c r="C16" s="15">
        <v>21</v>
      </c>
    </row>
    <row r="17" spans="2:3" x14ac:dyDescent="0.25">
      <c r="B17" s="20" t="s">
        <v>74</v>
      </c>
      <c r="C17" s="15">
        <v>20</v>
      </c>
    </row>
    <row r="18" spans="2:3" x14ac:dyDescent="0.25">
      <c r="B18" s="20" t="s">
        <v>75</v>
      </c>
      <c r="C18" s="15">
        <v>20</v>
      </c>
    </row>
    <row r="19" spans="2:3" x14ac:dyDescent="0.25">
      <c r="B19" s="20" t="s">
        <v>76</v>
      </c>
      <c r="C19" s="15">
        <v>19</v>
      </c>
    </row>
    <row r="20" spans="2:3" x14ac:dyDescent="0.25">
      <c r="B20" s="20" t="s">
        <v>77</v>
      </c>
      <c r="C20" s="15">
        <v>18</v>
      </c>
    </row>
    <row r="21" spans="2:3" x14ac:dyDescent="0.25">
      <c r="B21" s="20" t="s">
        <v>78</v>
      </c>
      <c r="C21" s="15">
        <v>18</v>
      </c>
    </row>
    <row r="22" spans="2:3" x14ac:dyDescent="0.25">
      <c r="B22" s="20" t="s">
        <v>79</v>
      </c>
      <c r="C22" s="15">
        <v>18</v>
      </c>
    </row>
    <row r="23" spans="2:3" x14ac:dyDescent="0.25">
      <c r="B23" s="20" t="s">
        <v>80</v>
      </c>
      <c r="C23" s="15">
        <v>18</v>
      </c>
    </row>
    <row r="24" spans="2:3" x14ac:dyDescent="0.25">
      <c r="B24" s="20" t="s">
        <v>81</v>
      </c>
      <c r="C24" s="15">
        <v>18</v>
      </c>
    </row>
    <row r="25" spans="2:3" x14ac:dyDescent="0.25">
      <c r="B25" s="20" t="s">
        <v>82</v>
      </c>
      <c r="C25" s="15">
        <v>18</v>
      </c>
    </row>
    <row r="26" spans="2:3" x14ac:dyDescent="0.25">
      <c r="B26" s="20" t="s">
        <v>83</v>
      </c>
      <c r="C26" s="15">
        <v>16</v>
      </c>
    </row>
    <row r="27" spans="2:3" x14ac:dyDescent="0.25">
      <c r="B27" s="20" t="s">
        <v>84</v>
      </c>
      <c r="C27" s="15">
        <v>16</v>
      </c>
    </row>
    <row r="28" spans="2:3" x14ac:dyDescent="0.25">
      <c r="B28" s="20" t="s">
        <v>85</v>
      </c>
      <c r="C28" s="15">
        <v>15</v>
      </c>
    </row>
    <row r="29" spans="2:3" x14ac:dyDescent="0.25">
      <c r="B29" s="20" t="s">
        <v>86</v>
      </c>
      <c r="C29" s="15">
        <v>15</v>
      </c>
    </row>
    <row r="30" spans="2:3" x14ac:dyDescent="0.25">
      <c r="B30" s="20" t="s">
        <v>87</v>
      </c>
      <c r="C30" s="15">
        <v>15</v>
      </c>
    </row>
    <row r="31" spans="2:3" x14ac:dyDescent="0.25">
      <c r="B31" s="20" t="s">
        <v>88</v>
      </c>
      <c r="C31" s="15">
        <v>14</v>
      </c>
    </row>
    <row r="32" spans="2:3" x14ac:dyDescent="0.25">
      <c r="B32" s="20" t="s">
        <v>89</v>
      </c>
      <c r="C32" s="15">
        <v>14</v>
      </c>
    </row>
    <row r="33" spans="2:3" x14ac:dyDescent="0.25">
      <c r="B33" s="20" t="s">
        <v>90</v>
      </c>
      <c r="C33" s="15">
        <v>11</v>
      </c>
    </row>
    <row r="34" spans="2:3" x14ac:dyDescent="0.25">
      <c r="B34" s="20" t="s">
        <v>91</v>
      </c>
      <c r="C34" s="15">
        <v>11</v>
      </c>
    </row>
    <row r="35" spans="2:3" x14ac:dyDescent="0.25">
      <c r="B35" s="20" t="s">
        <v>92</v>
      </c>
      <c r="C35" s="15">
        <v>8</v>
      </c>
    </row>
    <row r="36" spans="2:3" x14ac:dyDescent="0.25">
      <c r="B36" s="20" t="s">
        <v>93</v>
      </c>
      <c r="C36" s="15">
        <v>7</v>
      </c>
    </row>
    <row r="37" spans="2:3" x14ac:dyDescent="0.25">
      <c r="B37" s="20" t="s">
        <v>94</v>
      </c>
      <c r="C37" s="15">
        <v>6</v>
      </c>
    </row>
    <row r="38" spans="2:3" x14ac:dyDescent="0.25">
      <c r="B38" s="20" t="s">
        <v>95</v>
      </c>
      <c r="C38" s="15">
        <v>4</v>
      </c>
    </row>
    <row r="39" spans="2:3" x14ac:dyDescent="0.25">
      <c r="B39" s="20" t="s">
        <v>96</v>
      </c>
      <c r="C39" s="15">
        <v>1</v>
      </c>
    </row>
  </sheetData>
  <autoFilter ref="B1:C39"/>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96" customWidth="1"/>
  </cols>
  <sheetData>
    <row r="1" ht="34" customHeight="1" spans="1:2" x14ac:dyDescent="0.25">
      <c r="A1" s="19" t="s">
        <v>97</v>
      </c>
      <c r="B1" s="19" t="s">
        <v>98</v>
      </c>
    </row>
    <row r="2" ht="26" customHeight="1" spans="1:2" x14ac:dyDescent="0.25">
      <c r="A2" s="21" t="s">
        <v>99</v>
      </c>
      <c r="B2" s="6" t="s">
        <v>100</v>
      </c>
    </row>
    <row r="3" ht="26" customHeight="1" spans="1:2" x14ac:dyDescent="0.25">
      <c r="A3" s="21" t="s">
        <v>101</v>
      </c>
      <c r="B3" s="6" t="s">
        <v>102</v>
      </c>
    </row>
    <row r="4" ht="26" customHeight="1" spans="1:2" x14ac:dyDescent="0.25">
      <c r="A4" s="21" t="s">
        <v>103</v>
      </c>
      <c r="B4" s="6" t="s">
        <v>104</v>
      </c>
    </row>
    <row r="5" ht="26" customHeight="1" spans="1:2" x14ac:dyDescent="0.25">
      <c r="A5" s="21" t="s">
        <v>105</v>
      </c>
      <c r="B5" s="6" t="s">
        <v>106</v>
      </c>
    </row>
    <row r="6" ht="26" customHeight="1" spans="1:2" x14ac:dyDescent="0.25">
      <c r="A6" s="21" t="s">
        <v>107</v>
      </c>
      <c r="B6" s="6" t="s">
        <v>108</v>
      </c>
    </row>
    <row r="7" ht="26" customHeight="1" spans="1:2" x14ac:dyDescent="0.25">
      <c r="A7" s="21" t="s">
        <v>109</v>
      </c>
      <c r="B7" s="6" t="s">
        <v>110</v>
      </c>
    </row>
    <row r="8" ht="26" customHeight="1" spans="1:2" x14ac:dyDescent="0.25">
      <c r="A8" s="21" t="s">
        <v>111</v>
      </c>
      <c r="B8" s="6" t="s">
        <v>112</v>
      </c>
    </row>
    <row r="9" ht="26" customHeight="1" spans="1:2" x14ac:dyDescent="0.25">
      <c r="A9" s="21" t="s">
        <v>113</v>
      </c>
      <c r="B9" s="6" t="s">
        <v>114</v>
      </c>
    </row>
    <row r="10" ht="26" customHeight="1" spans="1:2" x14ac:dyDescent="0.25">
      <c r="A10" s="21" t="s">
        <v>115</v>
      </c>
      <c r="B10" s="6" t="s">
        <v>116</v>
      </c>
    </row>
    <row r="11" ht="26" customHeight="1" spans="1:2" x14ac:dyDescent="0.25">
      <c r="A11" s="21" t="s">
        <v>117</v>
      </c>
      <c r="B11" s="6" t="s">
        <v>118</v>
      </c>
    </row>
    <row r="12" ht="26" customHeight="1" spans="1:2" x14ac:dyDescent="0.25">
      <c r="A12" s="21" t="s">
        <v>119</v>
      </c>
      <c r="B12" s="6" t="s">
        <v>120</v>
      </c>
    </row>
    <row r="13" ht="26" customHeight="1" spans="1:2" x14ac:dyDescent="0.25">
      <c r="A13" s="21" t="s">
        <v>121</v>
      </c>
      <c r="B13" s="6" t="s">
        <v>122</v>
      </c>
    </row>
    <row r="14" ht="26" customHeight="1" spans="1:2" x14ac:dyDescent="0.25">
      <c r="A14" s="21" t="s">
        <v>123</v>
      </c>
      <c r="B14" s="6" t="s">
        <v>124</v>
      </c>
    </row>
    <row r="15" ht="26" customHeight="1" spans="1:2" x14ac:dyDescent="0.25">
      <c r="A15" s="21" t="s">
        <v>125</v>
      </c>
      <c r="B15" s="6" t="s">
        <v>126</v>
      </c>
    </row>
    <row r="16" ht="26" customHeight="1" spans="1:2" x14ac:dyDescent="0.25">
      <c r="A16" s="21" t="s">
        <v>127</v>
      </c>
      <c r="B16" s="6" t="s">
        <v>128</v>
      </c>
    </row>
    <row r="17" ht="26" customHeight="1" spans="1:2" x14ac:dyDescent="0.25">
      <c r="A17" s="21" t="s">
        <v>129</v>
      </c>
      <c r="B17" s="6" t="s">
        <v>130</v>
      </c>
    </row>
    <row r="18" ht="26" customHeight="1" spans="1:2" x14ac:dyDescent="0.25">
      <c r="A18" s="21" t="s">
        <v>131</v>
      </c>
      <c r="B18" s="6" t="s">
        <v>132</v>
      </c>
    </row>
    <row r="19" ht="26" customHeight="1" spans="1:2" x14ac:dyDescent="0.25">
      <c r="A19" s="21" t="s">
        <v>133</v>
      </c>
      <c r="B19" s="6" t="s">
        <v>134</v>
      </c>
    </row>
    <row r="20" ht="26" customHeight="1" spans="1:2" x14ac:dyDescent="0.25">
      <c r="A20" s="21" t="s">
        <v>135</v>
      </c>
      <c r="B20" s="6" t="s">
        <v>136</v>
      </c>
    </row>
    <row r="21" ht="26" customHeight="1" spans="1:2" x14ac:dyDescent="0.25">
      <c r="A21" s="21" t="s">
        <v>137</v>
      </c>
      <c r="B21" s="6" t="s">
        <v>138</v>
      </c>
    </row>
    <row r="22" ht="26" customHeight="1" spans="1:2" x14ac:dyDescent="0.25">
      <c r="A22" s="21" t="s">
        <v>139</v>
      </c>
      <c r="B22" s="6" t="s">
        <v>140</v>
      </c>
    </row>
    <row r="23" ht="26" customHeight="1" spans="1:2" x14ac:dyDescent="0.25">
      <c r="A23" s="21" t="s">
        <v>141</v>
      </c>
      <c r="B23" s="6" t="s">
        <v>142</v>
      </c>
    </row>
    <row r="24" ht="26" customHeight="1" spans="1:2" x14ac:dyDescent="0.25">
      <c r="A24" s="21" t="s">
        <v>143</v>
      </c>
      <c r="B24" s="6" t="s">
        <v>144</v>
      </c>
    </row>
    <row r="25" ht="26" customHeight="1" spans="1:2" x14ac:dyDescent="0.25">
      <c r="A25" s="21" t="s">
        <v>145</v>
      </c>
      <c r="B25" s="6" t="s">
        <v>146</v>
      </c>
    </row>
    <row r="26" ht="26" customHeight="1" spans="1:2" x14ac:dyDescent="0.25">
      <c r="A26" s="21" t="s">
        <v>147</v>
      </c>
      <c r="B26" s="6" t="s">
        <v>148</v>
      </c>
    </row>
    <row r="27" ht="26" customHeight="1" spans="1:2" x14ac:dyDescent="0.25">
      <c r="A27" s="21" t="s">
        <v>149</v>
      </c>
      <c r="B27" s="6" t="s">
        <v>150</v>
      </c>
    </row>
    <row r="28" ht="26" customHeight="1" spans="1:2" x14ac:dyDescent="0.25">
      <c r="A28" s="21" t="s">
        <v>151</v>
      </c>
      <c r="B28" s="6" t="s">
        <v>152</v>
      </c>
    </row>
    <row r="29" ht="26" customHeight="1" spans="1:2" x14ac:dyDescent="0.25">
      <c r="A29" s="21" t="s">
        <v>153</v>
      </c>
      <c r="B29" s="6" t="s">
        <v>154</v>
      </c>
    </row>
    <row r="30" ht="26" customHeight="1" spans="1:2" x14ac:dyDescent="0.25">
      <c r="A30" s="21" t="s">
        <v>155</v>
      </c>
      <c r="B30" s="6" t="s">
        <v>156</v>
      </c>
    </row>
    <row r="31" ht="26" customHeight="1" spans="1:2" x14ac:dyDescent="0.25">
      <c r="A31" s="21" t="s">
        <v>157</v>
      </c>
      <c r="B31" s="6" t="s">
        <v>158</v>
      </c>
    </row>
    <row r="32" ht="26" customHeight="1" spans="1:2" x14ac:dyDescent="0.25">
      <c r="A32" s="21" t="s">
        <v>159</v>
      </c>
      <c r="B32" s="6" t="s">
        <v>160</v>
      </c>
    </row>
    <row r="33" ht="26" customHeight="1" spans="1:2" x14ac:dyDescent="0.25">
      <c r="A33" s="21" t="s">
        <v>161</v>
      </c>
      <c r="B33" s="6" t="s">
        <v>162</v>
      </c>
    </row>
    <row r="34" ht="26" customHeight="1" spans="1:2" x14ac:dyDescent="0.25">
      <c r="A34" s="21" t="s">
        <v>163</v>
      </c>
      <c r="B34" s="6" t="s">
        <v>164</v>
      </c>
    </row>
    <row r="35" ht="26" customHeight="1" spans="1:2" x14ac:dyDescent="0.25">
      <c r="A35" s="21" t="s">
        <v>165</v>
      </c>
      <c r="B35" s="6" t="s">
        <v>166</v>
      </c>
    </row>
    <row r="36" ht="26" customHeight="1" spans="1:2" x14ac:dyDescent="0.25">
      <c r="A36" s="21" t="s">
        <v>167</v>
      </c>
      <c r="B36" s="6" t="s">
        <v>168</v>
      </c>
    </row>
    <row r="37" ht="26" customHeight="1" spans="1:2" x14ac:dyDescent="0.25">
      <c r="A37" s="21" t="s">
        <v>169</v>
      </c>
      <c r="B37" s="6" t="s">
        <v>170</v>
      </c>
    </row>
    <row r="38" ht="26" customHeight="1" spans="1:2" x14ac:dyDescent="0.25">
      <c r="A38" s="21" t="s">
        <v>171</v>
      </c>
      <c r="B38" s="6" t="s">
        <v>172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F46E5"/>
  </sheetPr>
  <dimension ref="A1:O43"/>
  <sheetViews>
    <sheetView workbookViewId="0">
      <pane xSplit="2" ySplit="1" topLeftCell="C2" activePane="bottomRight" state="frozen"/>
      <selection pane="bottomRight"/>
    </sheetView>
  </sheetViews>
  <sheetFormatPr defaultRowHeight="15" outlineLevelRow="0" outlineLevelCol="0" x14ac:dyDescent="55"/>
  <cols>
    <col min="1" max="1" width="5" customWidth="1"/>
    <col min="2" max="2" width="46" customWidth="1"/>
    <col min="3" max="4" width="12" customWidth="1"/>
    <col min="5" max="6" width="11" customWidth="1"/>
    <col min="7" max="7" width="10" customWidth="1"/>
    <col min="8" max="8" width="12" customWidth="1"/>
    <col min="9" max="9" width="13" customWidth="1"/>
    <col min="10" max="10" width="12" customWidth="1"/>
    <col min="11" max="11" width="11" customWidth="1"/>
    <col min="12" max="12" width="12" customWidth="1"/>
    <col min="13" max="13" width="11" customWidth="1"/>
    <col min="14" max="14" width="18" customWidth="1"/>
    <col min="15" max="15" width="34" customWidth="1"/>
  </cols>
  <sheetData>
    <row r="1" ht="34" customHeight="1" spans="1:15" x14ac:dyDescent="0.25">
      <c r="A1" s="19" t="s">
        <v>173</v>
      </c>
      <c r="B1" s="19" t="s">
        <v>99</v>
      </c>
      <c r="C1" s="19" t="s">
        <v>174</v>
      </c>
      <c r="D1" s="19" t="s">
        <v>175</v>
      </c>
      <c r="E1" s="19" t="s">
        <v>105</v>
      </c>
      <c r="F1" s="19" t="s">
        <v>107</v>
      </c>
      <c r="G1" s="19" t="s">
        <v>109</v>
      </c>
      <c r="H1" s="19" t="s">
        <v>111</v>
      </c>
      <c r="I1" s="19" t="s">
        <v>121</v>
      </c>
      <c r="J1" s="19" t="s">
        <v>123</v>
      </c>
      <c r="K1" s="19" t="s">
        <v>125</v>
      </c>
      <c r="L1" s="19" t="s">
        <v>127</v>
      </c>
      <c r="M1" s="19" t="s">
        <v>129</v>
      </c>
      <c r="N1" s="19" t="s">
        <v>131</v>
      </c>
      <c r="O1" s="19" t="s">
        <v>176</v>
      </c>
    </row>
    <row r="2" spans="1:15" x14ac:dyDescent="0.25">
      <c r="A2" s="16">
        <f>ROW()-1</f>
      </c>
      <c r="B2" s="14">
        <f>IF('LIST OF POSITIONS'!B2="","",'LIST OF POSITIONS'!B2)</f>
      </c>
      <c r="C2" s="15">
        <v>1</v>
      </c>
      <c r="D2" s="15">
        <v>1</v>
      </c>
      <c r="E2" s="16">
        <f>IF(OR(C2="",D2=""),"",C2-D2)</f>
      </c>
      <c r="F2" s="15">
        <v>1</v>
      </c>
      <c r="G2" s="16">
        <f>IF(AND(E2="",F2=""),"",N(E2)+N(F2))</f>
      </c>
      <c r="H2" s="15" t="s">
        <v>177</v>
      </c>
      <c r="I2" s="15" t="s">
        <v>178</v>
      </c>
      <c r="J2" s="15">
        <v>5</v>
      </c>
      <c r="K2" s="15">
        <v>5</v>
      </c>
      <c r="L2" s="15">
        <v>4</v>
      </c>
      <c r="M2" s="22">
        <f>IF(COUNT(J2:L2)=0,"",SUM(J2:L2))</f>
      </c>
      <c r="N2" s="22">
        <f>IF(M2="","",IF(M2&gt;=CONFIG!$C$7,"Highly Critical",IF(M2&gt;=CONFIG!$C$8,"Critical",IF(M2&gt;=CONFIG!$C$9,"Moderately Critical","Noncritical"))))</f>
      </c>
      <c r="O2" s="20" t="s">
        <v>179</v>
      </c>
    </row>
    <row r="3" spans="1:15" x14ac:dyDescent="0.25">
      <c r="A3" s="16">
        <f>ROW()-1</f>
      </c>
      <c r="B3" s="14">
        <f>IF('LIST OF POSITIONS'!B3="","",'LIST OF POSITIONS'!B3)</f>
      </c>
      <c r="C3" s="15"/>
      <c r="D3" s="15"/>
      <c r="E3" s="16">
        <f>IF(OR(C3="",D3=""),"",C3-D3)</f>
      </c>
      <c r="F3" s="15"/>
      <c r="G3" s="16">
        <f>IF(AND(E3="",F3=""),"",N(E3)+N(F3))</f>
      </c>
      <c r="H3" s="15"/>
      <c r="I3" s="15"/>
      <c r="J3" s="15"/>
      <c r="K3" s="15"/>
      <c r="L3" s="15"/>
      <c r="M3" s="22">
        <f>IF(COUNT(J3:L3)=0,"",SUM(J3:L3))</f>
      </c>
      <c r="N3" s="22">
        <f>IF(M3="","",IF(M3&gt;=CONFIG!$C$7,"Highly Critical",IF(M3&gt;=CONFIG!$C$8,"Critical",IF(M3&gt;=CONFIG!$C$9,"Moderately Critical","Noncritical"))))</f>
      </c>
      <c r="O3" s="20"/>
    </row>
    <row r="4" spans="1:15" x14ac:dyDescent="0.25">
      <c r="A4" s="16">
        <f>ROW()-1</f>
      </c>
      <c r="B4" s="14">
        <f>IF('LIST OF POSITIONS'!B4="","",'LIST OF POSITIONS'!B4)</f>
      </c>
      <c r="C4" s="15"/>
      <c r="D4" s="15"/>
      <c r="E4" s="16">
        <f>IF(OR(C4="",D4=""),"",C4-D4)</f>
      </c>
      <c r="F4" s="15"/>
      <c r="G4" s="16">
        <f>IF(AND(E4="",F4=""),"",N(E4)+N(F4))</f>
      </c>
      <c r="H4" s="15"/>
      <c r="I4" s="15"/>
      <c r="J4" s="15"/>
      <c r="K4" s="15"/>
      <c r="L4" s="15"/>
      <c r="M4" s="22">
        <f>IF(COUNT(J4:L4)=0,"",SUM(J4:L4))</f>
      </c>
      <c r="N4" s="22">
        <f>IF(M4="","",IF(M4&gt;=CONFIG!$C$7,"Highly Critical",IF(M4&gt;=CONFIG!$C$8,"Critical",IF(M4&gt;=CONFIG!$C$9,"Moderately Critical","Noncritical"))))</f>
      </c>
      <c r="O4" s="20"/>
    </row>
    <row r="5" spans="1:15" x14ac:dyDescent="0.25">
      <c r="A5" s="16">
        <f>ROW()-1</f>
      </c>
      <c r="B5" s="14">
        <f>IF('LIST OF POSITIONS'!B5="","",'LIST OF POSITIONS'!B5)</f>
      </c>
      <c r="C5" s="15"/>
      <c r="D5" s="15"/>
      <c r="E5" s="16">
        <f>IF(OR(C5="",D5=""),"",C5-D5)</f>
      </c>
      <c r="F5" s="15"/>
      <c r="G5" s="16">
        <f>IF(AND(E5="",F5=""),"",N(E5)+N(F5))</f>
      </c>
      <c r="H5" s="15"/>
      <c r="I5" s="15"/>
      <c r="J5" s="15"/>
      <c r="K5" s="15"/>
      <c r="L5" s="15"/>
      <c r="M5" s="22">
        <f>IF(COUNT(J5:L5)=0,"",SUM(J5:L5))</f>
      </c>
      <c r="N5" s="22">
        <f>IF(M5="","",IF(M5&gt;=CONFIG!$C$7,"Highly Critical",IF(M5&gt;=CONFIG!$C$8,"Critical",IF(M5&gt;=CONFIG!$C$9,"Moderately Critical","Noncritical"))))</f>
      </c>
      <c r="O5" s="20"/>
    </row>
    <row r="6" spans="1:15" x14ac:dyDescent="0.25">
      <c r="A6" s="16">
        <f>ROW()-1</f>
      </c>
      <c r="B6" s="14">
        <f>IF('LIST OF POSITIONS'!B6="","",'LIST OF POSITIONS'!B6)</f>
      </c>
      <c r="C6" s="15"/>
      <c r="D6" s="15"/>
      <c r="E6" s="16">
        <f>IF(OR(C6="",D6=""),"",C6-D6)</f>
      </c>
      <c r="F6" s="15"/>
      <c r="G6" s="16">
        <f>IF(AND(E6="",F6=""),"",N(E6)+N(F6))</f>
      </c>
      <c r="H6" s="15"/>
      <c r="I6" s="15"/>
      <c r="J6" s="15"/>
      <c r="K6" s="15"/>
      <c r="L6" s="15"/>
      <c r="M6" s="22">
        <f>IF(COUNT(J6:L6)=0,"",SUM(J6:L6))</f>
      </c>
      <c r="N6" s="22">
        <f>IF(M6="","",IF(M6&gt;=CONFIG!$C$7,"Highly Critical",IF(M6&gt;=CONFIG!$C$8,"Critical",IF(M6&gt;=CONFIG!$C$9,"Moderately Critical","Noncritical"))))</f>
      </c>
      <c r="O6" s="20"/>
    </row>
    <row r="7" spans="1:15" x14ac:dyDescent="0.25">
      <c r="A7" s="16">
        <f>ROW()-1</f>
      </c>
      <c r="B7" s="14">
        <f>IF('LIST OF POSITIONS'!B7="","",'LIST OF POSITIONS'!B7)</f>
      </c>
      <c r="C7" s="15"/>
      <c r="D7" s="15"/>
      <c r="E7" s="16">
        <f>IF(OR(C7="",D7=""),"",C7-D7)</f>
      </c>
      <c r="F7" s="15"/>
      <c r="G7" s="16">
        <f>IF(AND(E7="",F7=""),"",N(E7)+N(F7))</f>
      </c>
      <c r="H7" s="15"/>
      <c r="I7" s="15"/>
      <c r="J7" s="15"/>
      <c r="K7" s="15"/>
      <c r="L7" s="15"/>
      <c r="M7" s="22">
        <f>IF(COUNT(J7:L7)=0,"",SUM(J7:L7))</f>
      </c>
      <c r="N7" s="22">
        <f>IF(M7="","",IF(M7&gt;=CONFIG!$C$7,"Highly Critical",IF(M7&gt;=CONFIG!$C$8,"Critical",IF(M7&gt;=CONFIG!$C$9,"Moderately Critical","Noncritical"))))</f>
      </c>
      <c r="O7" s="20"/>
    </row>
    <row r="8" spans="1:15" x14ac:dyDescent="0.25">
      <c r="A8" s="16">
        <f>ROW()-1</f>
      </c>
      <c r="B8" s="14">
        <f>IF('LIST OF POSITIONS'!B8="","",'LIST OF POSITIONS'!B8)</f>
      </c>
      <c r="C8" s="15"/>
      <c r="D8" s="15"/>
      <c r="E8" s="16">
        <f>IF(OR(C8="",D8=""),"",C8-D8)</f>
      </c>
      <c r="F8" s="15"/>
      <c r="G8" s="16">
        <f>IF(AND(E8="",F8=""),"",N(E8)+N(F8))</f>
      </c>
      <c r="H8" s="15"/>
      <c r="I8" s="15"/>
      <c r="J8" s="15"/>
      <c r="K8" s="15"/>
      <c r="L8" s="15"/>
      <c r="M8" s="22">
        <f>IF(COUNT(J8:L8)=0,"",SUM(J8:L8))</f>
      </c>
      <c r="N8" s="22">
        <f>IF(M8="","",IF(M8&gt;=CONFIG!$C$7,"Highly Critical",IF(M8&gt;=CONFIG!$C$8,"Critical",IF(M8&gt;=CONFIG!$C$9,"Moderately Critical","Noncritical"))))</f>
      </c>
      <c r="O8" s="20"/>
    </row>
    <row r="9" spans="1:15" x14ac:dyDescent="0.25">
      <c r="A9" s="16">
        <f>ROW()-1</f>
      </c>
      <c r="B9" s="14">
        <f>IF('LIST OF POSITIONS'!B9="","",'LIST OF POSITIONS'!B9)</f>
      </c>
      <c r="C9" s="15"/>
      <c r="D9" s="15"/>
      <c r="E9" s="16">
        <f>IF(OR(C9="",D9=""),"",C9-D9)</f>
      </c>
      <c r="F9" s="15"/>
      <c r="G9" s="16">
        <f>IF(AND(E9="",F9=""),"",N(E9)+N(F9))</f>
      </c>
      <c r="H9" s="15"/>
      <c r="I9" s="15"/>
      <c r="J9" s="15"/>
      <c r="K9" s="15"/>
      <c r="L9" s="15"/>
      <c r="M9" s="22">
        <f>IF(COUNT(J9:L9)=0,"",SUM(J9:L9))</f>
      </c>
      <c r="N9" s="22">
        <f>IF(M9="","",IF(M9&gt;=CONFIG!$C$7,"Highly Critical",IF(M9&gt;=CONFIG!$C$8,"Critical",IF(M9&gt;=CONFIG!$C$9,"Moderately Critical","Noncritical"))))</f>
      </c>
      <c r="O9" s="20"/>
    </row>
    <row r="10" spans="1:15" x14ac:dyDescent="0.25">
      <c r="A10" s="16">
        <f>ROW()-1</f>
      </c>
      <c r="B10" s="14">
        <f>IF('LIST OF POSITIONS'!B10="","",'LIST OF POSITIONS'!B10)</f>
      </c>
      <c r="C10" s="15"/>
      <c r="D10" s="15"/>
      <c r="E10" s="16">
        <f>IF(OR(C10="",D10=""),"",C10-D10)</f>
      </c>
      <c r="F10" s="15"/>
      <c r="G10" s="16">
        <f>IF(AND(E10="",F10=""),"",N(E10)+N(F10))</f>
      </c>
      <c r="H10" s="15"/>
      <c r="I10" s="15"/>
      <c r="J10" s="15"/>
      <c r="K10" s="15"/>
      <c r="L10" s="15"/>
      <c r="M10" s="22">
        <f>IF(COUNT(J10:L10)=0,"",SUM(J10:L10))</f>
      </c>
      <c r="N10" s="22">
        <f>IF(M10="","",IF(M10&gt;=CONFIG!$C$7,"Highly Critical",IF(M10&gt;=CONFIG!$C$8,"Critical",IF(M10&gt;=CONFIG!$C$9,"Moderately Critical","Noncritical"))))</f>
      </c>
      <c r="O10" s="20"/>
    </row>
    <row r="11" spans="1:15" x14ac:dyDescent="0.25">
      <c r="A11" s="16">
        <f>ROW()-1</f>
      </c>
      <c r="B11" s="14">
        <f>IF('LIST OF POSITIONS'!B11="","",'LIST OF POSITIONS'!B11)</f>
      </c>
      <c r="C11" s="15"/>
      <c r="D11" s="15"/>
      <c r="E11" s="16">
        <f>IF(OR(C11="",D11=""),"",C11-D11)</f>
      </c>
      <c r="F11" s="15"/>
      <c r="G11" s="16">
        <f>IF(AND(E11="",F11=""),"",N(E11)+N(F11))</f>
      </c>
      <c r="H11" s="15"/>
      <c r="I11" s="15"/>
      <c r="J11" s="15"/>
      <c r="K11" s="15"/>
      <c r="L11" s="15"/>
      <c r="M11" s="22">
        <f>IF(COUNT(J11:L11)=0,"",SUM(J11:L11))</f>
      </c>
      <c r="N11" s="22">
        <f>IF(M11="","",IF(M11&gt;=CONFIG!$C$7,"Highly Critical",IF(M11&gt;=CONFIG!$C$8,"Critical",IF(M11&gt;=CONFIG!$C$9,"Moderately Critical","Noncritical"))))</f>
      </c>
      <c r="O11" s="20"/>
    </row>
    <row r="12" spans="1:15" x14ac:dyDescent="0.25">
      <c r="A12" s="16">
        <f>ROW()-1</f>
      </c>
      <c r="B12" s="14">
        <f>IF('LIST OF POSITIONS'!B12="","",'LIST OF POSITIONS'!B12)</f>
      </c>
      <c r="C12" s="15"/>
      <c r="D12" s="15"/>
      <c r="E12" s="16">
        <f>IF(OR(C12="",D12=""),"",C12-D12)</f>
      </c>
      <c r="F12" s="15"/>
      <c r="G12" s="16">
        <f>IF(AND(E12="",F12=""),"",N(E12)+N(F12))</f>
      </c>
      <c r="H12" s="15"/>
      <c r="I12" s="15"/>
      <c r="J12" s="15"/>
      <c r="K12" s="15"/>
      <c r="L12" s="15"/>
      <c r="M12" s="22">
        <f>IF(COUNT(J12:L12)=0,"",SUM(J12:L12))</f>
      </c>
      <c r="N12" s="22">
        <f>IF(M12="","",IF(M12&gt;=CONFIG!$C$7,"Highly Critical",IF(M12&gt;=CONFIG!$C$8,"Critical",IF(M12&gt;=CONFIG!$C$9,"Moderately Critical","Noncritical"))))</f>
      </c>
      <c r="O12" s="20"/>
    </row>
    <row r="13" spans="1:15" x14ac:dyDescent="0.25">
      <c r="A13" s="16">
        <f>ROW()-1</f>
      </c>
      <c r="B13" s="14">
        <f>IF('LIST OF POSITIONS'!B13="","",'LIST OF POSITIONS'!B13)</f>
      </c>
      <c r="C13" s="15"/>
      <c r="D13" s="15"/>
      <c r="E13" s="16">
        <f>IF(OR(C13="",D13=""),"",C13-D13)</f>
      </c>
      <c r="F13" s="15"/>
      <c r="G13" s="16">
        <f>IF(AND(E13="",F13=""),"",N(E13)+N(F13))</f>
      </c>
      <c r="H13" s="15"/>
      <c r="I13" s="15"/>
      <c r="J13" s="15"/>
      <c r="K13" s="15"/>
      <c r="L13" s="15"/>
      <c r="M13" s="22">
        <f>IF(COUNT(J13:L13)=0,"",SUM(J13:L13))</f>
      </c>
      <c r="N13" s="22">
        <f>IF(M13="","",IF(M13&gt;=CONFIG!$C$7,"Highly Critical",IF(M13&gt;=CONFIG!$C$8,"Critical",IF(M13&gt;=CONFIG!$C$9,"Moderately Critical","Noncritical"))))</f>
      </c>
      <c r="O13" s="20"/>
    </row>
    <row r="14" spans="1:15" x14ac:dyDescent="0.25">
      <c r="A14" s="16">
        <f>ROW()-1</f>
      </c>
      <c r="B14" s="14">
        <f>IF('LIST OF POSITIONS'!B14="","",'LIST OF POSITIONS'!B14)</f>
      </c>
      <c r="C14" s="15"/>
      <c r="D14" s="15"/>
      <c r="E14" s="16">
        <f>IF(OR(C14="",D14=""),"",C14-D14)</f>
      </c>
      <c r="F14" s="15"/>
      <c r="G14" s="16">
        <f>IF(AND(E14="",F14=""),"",N(E14)+N(F14))</f>
      </c>
      <c r="H14" s="15"/>
      <c r="I14" s="15"/>
      <c r="J14" s="15"/>
      <c r="K14" s="15"/>
      <c r="L14" s="15"/>
      <c r="M14" s="22">
        <f>IF(COUNT(J14:L14)=0,"",SUM(J14:L14))</f>
      </c>
      <c r="N14" s="22">
        <f>IF(M14="","",IF(M14&gt;=CONFIG!$C$7,"Highly Critical",IF(M14&gt;=CONFIG!$C$8,"Critical",IF(M14&gt;=CONFIG!$C$9,"Moderately Critical","Noncritical"))))</f>
      </c>
      <c r="O14" s="20"/>
    </row>
    <row r="15" spans="1:15" x14ac:dyDescent="0.25">
      <c r="A15" s="16">
        <f>ROW()-1</f>
      </c>
      <c r="B15" s="14">
        <f>IF('LIST OF POSITIONS'!B15="","",'LIST OF POSITIONS'!B15)</f>
      </c>
      <c r="C15" s="15"/>
      <c r="D15" s="15"/>
      <c r="E15" s="16">
        <f>IF(OR(C15="",D15=""),"",C15-D15)</f>
      </c>
      <c r="F15" s="15"/>
      <c r="G15" s="16">
        <f>IF(AND(E15="",F15=""),"",N(E15)+N(F15))</f>
      </c>
      <c r="H15" s="15"/>
      <c r="I15" s="15"/>
      <c r="J15" s="15"/>
      <c r="K15" s="15"/>
      <c r="L15" s="15"/>
      <c r="M15" s="22">
        <f>IF(COUNT(J15:L15)=0,"",SUM(J15:L15))</f>
      </c>
      <c r="N15" s="22">
        <f>IF(M15="","",IF(M15&gt;=CONFIG!$C$7,"Highly Critical",IF(M15&gt;=CONFIG!$C$8,"Critical",IF(M15&gt;=CONFIG!$C$9,"Moderately Critical","Noncritical"))))</f>
      </c>
      <c r="O15" s="20"/>
    </row>
    <row r="16" spans="1:15" x14ac:dyDescent="0.25">
      <c r="A16" s="16">
        <f>ROW()-1</f>
      </c>
      <c r="B16" s="14">
        <f>IF('LIST OF POSITIONS'!B16="","",'LIST OF POSITIONS'!B16)</f>
      </c>
      <c r="C16" s="15"/>
      <c r="D16" s="15"/>
      <c r="E16" s="16">
        <f>IF(OR(C16="",D16=""),"",C16-D16)</f>
      </c>
      <c r="F16" s="15"/>
      <c r="G16" s="16">
        <f>IF(AND(E16="",F16=""),"",N(E16)+N(F16))</f>
      </c>
      <c r="H16" s="15"/>
      <c r="I16" s="15"/>
      <c r="J16" s="15"/>
      <c r="K16" s="15"/>
      <c r="L16" s="15"/>
      <c r="M16" s="22">
        <f>IF(COUNT(J16:L16)=0,"",SUM(J16:L16))</f>
      </c>
      <c r="N16" s="22">
        <f>IF(M16="","",IF(M16&gt;=CONFIG!$C$7,"Highly Critical",IF(M16&gt;=CONFIG!$C$8,"Critical",IF(M16&gt;=CONFIG!$C$9,"Moderately Critical","Noncritical"))))</f>
      </c>
      <c r="O16" s="20"/>
    </row>
    <row r="17" spans="1:15" x14ac:dyDescent="0.25">
      <c r="A17" s="16">
        <f>ROW()-1</f>
      </c>
      <c r="B17" s="14">
        <f>IF('LIST OF POSITIONS'!B17="","",'LIST OF POSITIONS'!B17)</f>
      </c>
      <c r="C17" s="15"/>
      <c r="D17" s="15"/>
      <c r="E17" s="16">
        <f>IF(OR(C17="",D17=""),"",C17-D17)</f>
      </c>
      <c r="F17" s="15"/>
      <c r="G17" s="16">
        <f>IF(AND(E17="",F17=""),"",N(E17)+N(F17))</f>
      </c>
      <c r="H17" s="15"/>
      <c r="I17" s="15"/>
      <c r="J17" s="15"/>
      <c r="K17" s="15"/>
      <c r="L17" s="15"/>
      <c r="M17" s="22">
        <f>IF(COUNT(J17:L17)=0,"",SUM(J17:L17))</f>
      </c>
      <c r="N17" s="22">
        <f>IF(M17="","",IF(M17&gt;=CONFIG!$C$7,"Highly Critical",IF(M17&gt;=CONFIG!$C$8,"Critical",IF(M17&gt;=CONFIG!$C$9,"Moderately Critical","Noncritical"))))</f>
      </c>
      <c r="O17" s="20"/>
    </row>
    <row r="18" spans="1:15" x14ac:dyDescent="0.25">
      <c r="A18" s="16">
        <f>ROW()-1</f>
      </c>
      <c r="B18" s="14">
        <f>IF('LIST OF POSITIONS'!B18="","",'LIST OF POSITIONS'!B18)</f>
      </c>
      <c r="C18" s="15"/>
      <c r="D18" s="15"/>
      <c r="E18" s="16">
        <f>IF(OR(C18="",D18=""),"",C18-D18)</f>
      </c>
      <c r="F18" s="15"/>
      <c r="G18" s="16">
        <f>IF(AND(E18="",F18=""),"",N(E18)+N(F18))</f>
      </c>
      <c r="H18" s="15"/>
      <c r="I18" s="15"/>
      <c r="J18" s="15"/>
      <c r="K18" s="15"/>
      <c r="L18" s="15"/>
      <c r="M18" s="22">
        <f>IF(COUNT(J18:L18)=0,"",SUM(J18:L18))</f>
      </c>
      <c r="N18" s="22">
        <f>IF(M18="","",IF(M18&gt;=CONFIG!$C$7,"Highly Critical",IF(M18&gt;=CONFIG!$C$8,"Critical",IF(M18&gt;=CONFIG!$C$9,"Moderately Critical","Noncritical"))))</f>
      </c>
      <c r="O18" s="20"/>
    </row>
    <row r="19" spans="1:15" x14ac:dyDescent="0.25">
      <c r="A19" s="16">
        <f>ROW()-1</f>
      </c>
      <c r="B19" s="14">
        <f>IF('LIST OF POSITIONS'!B19="","",'LIST OF POSITIONS'!B19)</f>
      </c>
      <c r="C19" s="15"/>
      <c r="D19" s="15"/>
      <c r="E19" s="16">
        <f>IF(OR(C19="",D19=""),"",C19-D19)</f>
      </c>
      <c r="F19" s="15"/>
      <c r="G19" s="16">
        <f>IF(AND(E19="",F19=""),"",N(E19)+N(F19))</f>
      </c>
      <c r="H19" s="15"/>
      <c r="I19" s="15"/>
      <c r="J19" s="15"/>
      <c r="K19" s="15"/>
      <c r="L19" s="15"/>
      <c r="M19" s="22">
        <f>IF(COUNT(J19:L19)=0,"",SUM(J19:L19))</f>
      </c>
      <c r="N19" s="22">
        <f>IF(M19="","",IF(M19&gt;=CONFIG!$C$7,"Highly Critical",IF(M19&gt;=CONFIG!$C$8,"Critical",IF(M19&gt;=CONFIG!$C$9,"Moderately Critical","Noncritical"))))</f>
      </c>
      <c r="O19" s="20"/>
    </row>
    <row r="20" spans="1:15" x14ac:dyDescent="0.25">
      <c r="A20" s="16">
        <f>ROW()-1</f>
      </c>
      <c r="B20" s="14">
        <f>IF('LIST OF POSITIONS'!B20="","",'LIST OF POSITIONS'!B20)</f>
      </c>
      <c r="C20" s="15"/>
      <c r="D20" s="15"/>
      <c r="E20" s="16">
        <f>IF(OR(C20="",D20=""),"",C20-D20)</f>
      </c>
      <c r="F20" s="15"/>
      <c r="G20" s="16">
        <f>IF(AND(E20="",F20=""),"",N(E20)+N(F20))</f>
      </c>
      <c r="H20" s="15"/>
      <c r="I20" s="15"/>
      <c r="J20" s="15"/>
      <c r="K20" s="15"/>
      <c r="L20" s="15"/>
      <c r="M20" s="22">
        <f>IF(COUNT(J20:L20)=0,"",SUM(J20:L20))</f>
      </c>
      <c r="N20" s="22">
        <f>IF(M20="","",IF(M20&gt;=CONFIG!$C$7,"Highly Critical",IF(M20&gt;=CONFIG!$C$8,"Critical",IF(M20&gt;=CONFIG!$C$9,"Moderately Critical","Noncritical"))))</f>
      </c>
      <c r="O20" s="20"/>
    </row>
    <row r="21" spans="1:15" x14ac:dyDescent="0.25">
      <c r="A21" s="16">
        <f>ROW()-1</f>
      </c>
      <c r="B21" s="14">
        <f>IF('LIST OF POSITIONS'!B21="","",'LIST OF POSITIONS'!B21)</f>
      </c>
      <c r="C21" s="15"/>
      <c r="D21" s="15"/>
      <c r="E21" s="16">
        <f>IF(OR(C21="",D21=""),"",C21-D21)</f>
      </c>
      <c r="F21" s="15"/>
      <c r="G21" s="16">
        <f>IF(AND(E21="",F21=""),"",N(E21)+N(F21))</f>
      </c>
      <c r="H21" s="15"/>
      <c r="I21" s="15"/>
      <c r="J21" s="15"/>
      <c r="K21" s="15"/>
      <c r="L21" s="15"/>
      <c r="M21" s="22">
        <f>IF(COUNT(J21:L21)=0,"",SUM(J21:L21))</f>
      </c>
      <c r="N21" s="22">
        <f>IF(M21="","",IF(M21&gt;=CONFIG!$C$7,"Highly Critical",IF(M21&gt;=CONFIG!$C$8,"Critical",IF(M21&gt;=CONFIG!$C$9,"Moderately Critical","Noncritical"))))</f>
      </c>
      <c r="O21" s="20"/>
    </row>
    <row r="22" spans="1:15" x14ac:dyDescent="0.25">
      <c r="A22" s="16">
        <f>ROW()-1</f>
      </c>
      <c r="B22" s="14">
        <f>IF('LIST OF POSITIONS'!B22="","",'LIST OF POSITIONS'!B22)</f>
      </c>
      <c r="C22" s="15"/>
      <c r="D22" s="15"/>
      <c r="E22" s="16">
        <f>IF(OR(C22="",D22=""),"",C22-D22)</f>
      </c>
      <c r="F22" s="15"/>
      <c r="G22" s="16">
        <f>IF(AND(E22="",F22=""),"",N(E22)+N(F22))</f>
      </c>
      <c r="H22" s="15"/>
      <c r="I22" s="15"/>
      <c r="J22" s="15"/>
      <c r="K22" s="15"/>
      <c r="L22" s="15"/>
      <c r="M22" s="22">
        <f>IF(COUNT(J22:L22)=0,"",SUM(J22:L22))</f>
      </c>
      <c r="N22" s="22">
        <f>IF(M22="","",IF(M22&gt;=CONFIG!$C$7,"Highly Critical",IF(M22&gt;=CONFIG!$C$8,"Critical",IF(M22&gt;=CONFIG!$C$9,"Moderately Critical","Noncritical"))))</f>
      </c>
      <c r="O22" s="20"/>
    </row>
    <row r="23" spans="1:15" x14ac:dyDescent="0.25">
      <c r="A23" s="16">
        <f>ROW()-1</f>
      </c>
      <c r="B23" s="14">
        <f>IF('LIST OF POSITIONS'!B23="","",'LIST OF POSITIONS'!B23)</f>
      </c>
      <c r="C23" s="15"/>
      <c r="D23" s="15"/>
      <c r="E23" s="16">
        <f>IF(OR(C23="",D23=""),"",C23-D23)</f>
      </c>
      <c r="F23" s="15"/>
      <c r="G23" s="16">
        <f>IF(AND(E23="",F23=""),"",N(E23)+N(F23))</f>
      </c>
      <c r="H23" s="15"/>
      <c r="I23" s="15"/>
      <c r="J23" s="15"/>
      <c r="K23" s="15"/>
      <c r="L23" s="15"/>
      <c r="M23" s="22">
        <f>IF(COUNT(J23:L23)=0,"",SUM(J23:L23))</f>
      </c>
      <c r="N23" s="22">
        <f>IF(M23="","",IF(M23&gt;=CONFIG!$C$7,"Highly Critical",IF(M23&gt;=CONFIG!$C$8,"Critical",IF(M23&gt;=CONFIG!$C$9,"Moderately Critical","Noncritical"))))</f>
      </c>
      <c r="O23" s="20"/>
    </row>
    <row r="24" spans="1:15" x14ac:dyDescent="0.25">
      <c r="A24" s="16">
        <f>ROW()-1</f>
      </c>
      <c r="B24" s="14">
        <f>IF('LIST OF POSITIONS'!B24="","",'LIST OF POSITIONS'!B24)</f>
      </c>
      <c r="C24" s="15"/>
      <c r="D24" s="15"/>
      <c r="E24" s="16">
        <f>IF(OR(C24="",D24=""),"",C24-D24)</f>
      </c>
      <c r="F24" s="15"/>
      <c r="G24" s="16">
        <f>IF(AND(E24="",F24=""),"",N(E24)+N(F24))</f>
      </c>
      <c r="H24" s="15"/>
      <c r="I24" s="15"/>
      <c r="J24" s="15"/>
      <c r="K24" s="15"/>
      <c r="L24" s="15"/>
      <c r="M24" s="22">
        <f>IF(COUNT(J24:L24)=0,"",SUM(J24:L24))</f>
      </c>
      <c r="N24" s="22">
        <f>IF(M24="","",IF(M24&gt;=CONFIG!$C$7,"Highly Critical",IF(M24&gt;=CONFIG!$C$8,"Critical",IF(M24&gt;=CONFIG!$C$9,"Moderately Critical","Noncritical"))))</f>
      </c>
      <c r="O24" s="20"/>
    </row>
    <row r="25" spans="1:15" x14ac:dyDescent="0.25">
      <c r="A25" s="16">
        <f>ROW()-1</f>
      </c>
      <c r="B25" s="14">
        <f>IF('LIST OF POSITIONS'!B25="","",'LIST OF POSITIONS'!B25)</f>
      </c>
      <c r="C25" s="15"/>
      <c r="D25" s="15"/>
      <c r="E25" s="16">
        <f>IF(OR(C25="",D25=""),"",C25-D25)</f>
      </c>
      <c r="F25" s="15"/>
      <c r="G25" s="16">
        <f>IF(AND(E25="",F25=""),"",N(E25)+N(F25))</f>
      </c>
      <c r="H25" s="15"/>
      <c r="I25" s="15"/>
      <c r="J25" s="15"/>
      <c r="K25" s="15"/>
      <c r="L25" s="15"/>
      <c r="M25" s="22">
        <f>IF(COUNT(J25:L25)=0,"",SUM(J25:L25))</f>
      </c>
      <c r="N25" s="22">
        <f>IF(M25="","",IF(M25&gt;=CONFIG!$C$7,"Highly Critical",IF(M25&gt;=CONFIG!$C$8,"Critical",IF(M25&gt;=CONFIG!$C$9,"Moderately Critical","Noncritical"))))</f>
      </c>
      <c r="O25" s="20"/>
    </row>
    <row r="26" spans="1:15" x14ac:dyDescent="0.25">
      <c r="A26" s="16">
        <f>ROW()-1</f>
      </c>
      <c r="B26" s="14">
        <f>IF('LIST OF POSITIONS'!B26="","",'LIST OF POSITIONS'!B26)</f>
      </c>
      <c r="C26" s="15"/>
      <c r="D26" s="15"/>
      <c r="E26" s="16">
        <f>IF(OR(C26="",D26=""),"",C26-D26)</f>
      </c>
      <c r="F26" s="15"/>
      <c r="G26" s="16">
        <f>IF(AND(E26="",F26=""),"",N(E26)+N(F26))</f>
      </c>
      <c r="H26" s="15"/>
      <c r="I26" s="15"/>
      <c r="J26" s="15"/>
      <c r="K26" s="15"/>
      <c r="L26" s="15"/>
      <c r="M26" s="22">
        <f>IF(COUNT(J26:L26)=0,"",SUM(J26:L26))</f>
      </c>
      <c r="N26" s="22">
        <f>IF(M26="","",IF(M26&gt;=CONFIG!$C$7,"Highly Critical",IF(M26&gt;=CONFIG!$C$8,"Critical",IF(M26&gt;=CONFIG!$C$9,"Moderately Critical","Noncritical"))))</f>
      </c>
      <c r="O26" s="20"/>
    </row>
    <row r="27" spans="1:15" x14ac:dyDescent="0.25">
      <c r="A27" s="16">
        <f>ROW()-1</f>
      </c>
      <c r="B27" s="14">
        <f>IF('LIST OF POSITIONS'!B27="","",'LIST OF POSITIONS'!B27)</f>
      </c>
      <c r="C27" s="15"/>
      <c r="D27" s="15"/>
      <c r="E27" s="16">
        <f>IF(OR(C27="",D27=""),"",C27-D27)</f>
      </c>
      <c r="F27" s="15"/>
      <c r="G27" s="16">
        <f>IF(AND(E27="",F27=""),"",N(E27)+N(F27))</f>
      </c>
      <c r="H27" s="15"/>
      <c r="I27" s="15"/>
      <c r="J27" s="15"/>
      <c r="K27" s="15"/>
      <c r="L27" s="15"/>
      <c r="M27" s="22">
        <f>IF(COUNT(J27:L27)=0,"",SUM(J27:L27))</f>
      </c>
      <c r="N27" s="22">
        <f>IF(M27="","",IF(M27&gt;=CONFIG!$C$7,"Highly Critical",IF(M27&gt;=CONFIG!$C$8,"Critical",IF(M27&gt;=CONFIG!$C$9,"Moderately Critical","Noncritical"))))</f>
      </c>
      <c r="O27" s="20"/>
    </row>
    <row r="28" spans="1:15" x14ac:dyDescent="0.25">
      <c r="A28" s="16">
        <f>ROW()-1</f>
      </c>
      <c r="B28" s="14">
        <f>IF('LIST OF POSITIONS'!B28="","",'LIST OF POSITIONS'!B28)</f>
      </c>
      <c r="C28" s="15"/>
      <c r="D28" s="15"/>
      <c r="E28" s="16">
        <f>IF(OR(C28="",D28=""),"",C28-D28)</f>
      </c>
      <c r="F28" s="15"/>
      <c r="G28" s="16">
        <f>IF(AND(E28="",F28=""),"",N(E28)+N(F28))</f>
      </c>
      <c r="H28" s="15"/>
      <c r="I28" s="15"/>
      <c r="J28" s="15"/>
      <c r="K28" s="15"/>
      <c r="L28" s="15"/>
      <c r="M28" s="22">
        <f>IF(COUNT(J28:L28)=0,"",SUM(J28:L28))</f>
      </c>
      <c r="N28" s="22">
        <f>IF(M28="","",IF(M28&gt;=CONFIG!$C$7,"Highly Critical",IF(M28&gt;=CONFIG!$C$8,"Critical",IF(M28&gt;=CONFIG!$C$9,"Moderately Critical","Noncritical"))))</f>
      </c>
      <c r="O28" s="20"/>
    </row>
    <row r="29" spans="1:15" x14ac:dyDescent="0.25">
      <c r="A29" s="16">
        <f>ROW()-1</f>
      </c>
      <c r="B29" s="14">
        <f>IF('LIST OF POSITIONS'!B29="","",'LIST OF POSITIONS'!B29)</f>
      </c>
      <c r="C29" s="15"/>
      <c r="D29" s="15"/>
      <c r="E29" s="16">
        <f>IF(OR(C29="",D29=""),"",C29-D29)</f>
      </c>
      <c r="F29" s="15"/>
      <c r="G29" s="16">
        <f>IF(AND(E29="",F29=""),"",N(E29)+N(F29))</f>
      </c>
      <c r="H29" s="15"/>
      <c r="I29" s="15"/>
      <c r="J29" s="15"/>
      <c r="K29" s="15"/>
      <c r="L29" s="15"/>
      <c r="M29" s="22">
        <f>IF(COUNT(J29:L29)=0,"",SUM(J29:L29))</f>
      </c>
      <c r="N29" s="22">
        <f>IF(M29="","",IF(M29&gt;=CONFIG!$C$7,"Highly Critical",IF(M29&gt;=CONFIG!$C$8,"Critical",IF(M29&gt;=CONFIG!$C$9,"Moderately Critical","Noncritical"))))</f>
      </c>
      <c r="O29" s="20"/>
    </row>
    <row r="30" spans="1:15" x14ac:dyDescent="0.25">
      <c r="A30" s="16">
        <f>ROW()-1</f>
      </c>
      <c r="B30" s="14">
        <f>IF('LIST OF POSITIONS'!B30="","",'LIST OF POSITIONS'!B30)</f>
      </c>
      <c r="C30" s="15"/>
      <c r="D30" s="15"/>
      <c r="E30" s="16">
        <f>IF(OR(C30="",D30=""),"",C30-D30)</f>
      </c>
      <c r="F30" s="15"/>
      <c r="G30" s="16">
        <f>IF(AND(E30="",F30=""),"",N(E30)+N(F30))</f>
      </c>
      <c r="H30" s="15"/>
      <c r="I30" s="15"/>
      <c r="J30" s="15"/>
      <c r="K30" s="15"/>
      <c r="L30" s="15"/>
      <c r="M30" s="22">
        <f>IF(COUNT(J30:L30)=0,"",SUM(J30:L30))</f>
      </c>
      <c r="N30" s="22">
        <f>IF(M30="","",IF(M30&gt;=CONFIG!$C$7,"Highly Critical",IF(M30&gt;=CONFIG!$C$8,"Critical",IF(M30&gt;=CONFIG!$C$9,"Moderately Critical","Noncritical"))))</f>
      </c>
      <c r="O30" s="20"/>
    </row>
    <row r="31" spans="1:15" x14ac:dyDescent="0.25">
      <c r="A31" s="16">
        <f>ROW()-1</f>
      </c>
      <c r="B31" s="14">
        <f>IF('LIST OF POSITIONS'!B31="","",'LIST OF POSITIONS'!B31)</f>
      </c>
      <c r="C31" s="15"/>
      <c r="D31" s="15"/>
      <c r="E31" s="16">
        <f>IF(OR(C31="",D31=""),"",C31-D31)</f>
      </c>
      <c r="F31" s="15"/>
      <c r="G31" s="16">
        <f>IF(AND(E31="",F31=""),"",N(E31)+N(F31))</f>
      </c>
      <c r="H31" s="15"/>
      <c r="I31" s="15"/>
      <c r="J31" s="15"/>
      <c r="K31" s="15"/>
      <c r="L31" s="15"/>
      <c r="M31" s="22">
        <f>IF(COUNT(J31:L31)=0,"",SUM(J31:L31))</f>
      </c>
      <c r="N31" s="22">
        <f>IF(M31="","",IF(M31&gt;=CONFIG!$C$7,"Highly Critical",IF(M31&gt;=CONFIG!$C$8,"Critical",IF(M31&gt;=CONFIG!$C$9,"Moderately Critical","Noncritical"))))</f>
      </c>
      <c r="O31" s="20"/>
    </row>
    <row r="32" spans="1:15" x14ac:dyDescent="0.25">
      <c r="A32" s="16">
        <f>ROW()-1</f>
      </c>
      <c r="B32" s="14">
        <f>IF('LIST OF POSITIONS'!B32="","",'LIST OF POSITIONS'!B32)</f>
      </c>
      <c r="C32" s="15"/>
      <c r="D32" s="15"/>
      <c r="E32" s="16">
        <f>IF(OR(C32="",D32=""),"",C32-D32)</f>
      </c>
      <c r="F32" s="15"/>
      <c r="G32" s="16">
        <f>IF(AND(E32="",F32=""),"",N(E32)+N(F32))</f>
      </c>
      <c r="H32" s="15"/>
      <c r="I32" s="15"/>
      <c r="J32" s="15"/>
      <c r="K32" s="15"/>
      <c r="L32" s="15"/>
      <c r="M32" s="22">
        <f>IF(COUNT(J32:L32)=0,"",SUM(J32:L32))</f>
      </c>
      <c r="N32" s="22">
        <f>IF(M32="","",IF(M32&gt;=CONFIG!$C$7,"Highly Critical",IF(M32&gt;=CONFIG!$C$8,"Critical",IF(M32&gt;=CONFIG!$C$9,"Moderately Critical","Noncritical"))))</f>
      </c>
      <c r="O32" s="20"/>
    </row>
    <row r="33" spans="1:15" x14ac:dyDescent="0.25">
      <c r="A33" s="16">
        <f>ROW()-1</f>
      </c>
      <c r="B33" s="14">
        <f>IF('LIST OF POSITIONS'!B33="","",'LIST OF POSITIONS'!B33)</f>
      </c>
      <c r="C33" s="15"/>
      <c r="D33" s="15"/>
      <c r="E33" s="16">
        <f>IF(OR(C33="",D33=""),"",C33-D33)</f>
      </c>
      <c r="F33" s="15"/>
      <c r="G33" s="16">
        <f>IF(AND(E33="",F33=""),"",N(E33)+N(F33))</f>
      </c>
      <c r="H33" s="15"/>
      <c r="I33" s="15"/>
      <c r="J33" s="15"/>
      <c r="K33" s="15"/>
      <c r="L33" s="15"/>
      <c r="M33" s="22">
        <f>IF(COUNT(J33:L33)=0,"",SUM(J33:L33))</f>
      </c>
      <c r="N33" s="22">
        <f>IF(M33="","",IF(M33&gt;=CONFIG!$C$7,"Highly Critical",IF(M33&gt;=CONFIG!$C$8,"Critical",IF(M33&gt;=CONFIG!$C$9,"Moderately Critical","Noncritical"))))</f>
      </c>
      <c r="O33" s="20"/>
    </row>
    <row r="34" spans="1:15" x14ac:dyDescent="0.25">
      <c r="A34" s="16">
        <f>ROW()-1</f>
      </c>
      <c r="B34" s="14">
        <f>IF('LIST OF POSITIONS'!B34="","",'LIST OF POSITIONS'!B34)</f>
      </c>
      <c r="C34" s="15"/>
      <c r="D34" s="15"/>
      <c r="E34" s="16">
        <f>IF(OR(C34="",D34=""),"",C34-D34)</f>
      </c>
      <c r="F34" s="15"/>
      <c r="G34" s="16">
        <f>IF(AND(E34="",F34=""),"",N(E34)+N(F34))</f>
      </c>
      <c r="H34" s="15"/>
      <c r="I34" s="15"/>
      <c r="J34" s="15"/>
      <c r="K34" s="15"/>
      <c r="L34" s="15"/>
      <c r="M34" s="22">
        <f>IF(COUNT(J34:L34)=0,"",SUM(J34:L34))</f>
      </c>
      <c r="N34" s="22">
        <f>IF(M34="","",IF(M34&gt;=CONFIG!$C$7,"Highly Critical",IF(M34&gt;=CONFIG!$C$8,"Critical",IF(M34&gt;=CONFIG!$C$9,"Moderately Critical","Noncritical"))))</f>
      </c>
      <c r="O34" s="20"/>
    </row>
    <row r="35" spans="1:15" x14ac:dyDescent="0.25">
      <c r="A35" s="16">
        <f>ROW()-1</f>
      </c>
      <c r="B35" s="14">
        <f>IF('LIST OF POSITIONS'!B35="","",'LIST OF POSITIONS'!B35)</f>
      </c>
      <c r="C35" s="15"/>
      <c r="D35" s="15"/>
      <c r="E35" s="16">
        <f>IF(OR(C35="",D35=""),"",C35-D35)</f>
      </c>
      <c r="F35" s="15"/>
      <c r="G35" s="16">
        <f>IF(AND(E35="",F35=""),"",N(E35)+N(F35))</f>
      </c>
      <c r="H35" s="15"/>
      <c r="I35" s="15"/>
      <c r="J35" s="15"/>
      <c r="K35" s="15"/>
      <c r="L35" s="15"/>
      <c r="M35" s="22">
        <f>IF(COUNT(J35:L35)=0,"",SUM(J35:L35))</f>
      </c>
      <c r="N35" s="22">
        <f>IF(M35="","",IF(M35&gt;=CONFIG!$C$7,"Highly Critical",IF(M35&gt;=CONFIG!$C$8,"Critical",IF(M35&gt;=CONFIG!$C$9,"Moderately Critical","Noncritical"))))</f>
      </c>
      <c r="O35" s="20"/>
    </row>
    <row r="36" spans="1:15" x14ac:dyDescent="0.25">
      <c r="A36" s="16">
        <f>ROW()-1</f>
      </c>
      <c r="B36" s="14">
        <f>IF('LIST OF POSITIONS'!B36="","",'LIST OF POSITIONS'!B36)</f>
      </c>
      <c r="C36" s="15"/>
      <c r="D36" s="15"/>
      <c r="E36" s="16">
        <f>IF(OR(C36="",D36=""),"",C36-D36)</f>
      </c>
      <c r="F36" s="15"/>
      <c r="G36" s="16">
        <f>IF(AND(E36="",F36=""),"",N(E36)+N(F36))</f>
      </c>
      <c r="H36" s="15"/>
      <c r="I36" s="15"/>
      <c r="J36" s="15"/>
      <c r="K36" s="15"/>
      <c r="L36" s="15"/>
      <c r="M36" s="22">
        <f>IF(COUNT(J36:L36)=0,"",SUM(J36:L36))</f>
      </c>
      <c r="N36" s="22">
        <f>IF(M36="","",IF(M36&gt;=CONFIG!$C$7,"Highly Critical",IF(M36&gt;=CONFIG!$C$8,"Critical",IF(M36&gt;=CONFIG!$C$9,"Moderately Critical","Noncritical"))))</f>
      </c>
      <c r="O36" s="20"/>
    </row>
    <row r="37" spans="1:15" x14ac:dyDescent="0.25">
      <c r="A37" s="16">
        <f>ROW()-1</f>
      </c>
      <c r="B37" s="14">
        <f>IF('LIST OF POSITIONS'!B37="","",'LIST OF POSITIONS'!B37)</f>
      </c>
      <c r="C37" s="15"/>
      <c r="D37" s="15"/>
      <c r="E37" s="16">
        <f>IF(OR(C37="",D37=""),"",C37-D37)</f>
      </c>
      <c r="F37" s="15"/>
      <c r="G37" s="16">
        <f>IF(AND(E37="",F37=""),"",N(E37)+N(F37))</f>
      </c>
      <c r="H37" s="15"/>
      <c r="I37" s="15"/>
      <c r="J37" s="15"/>
      <c r="K37" s="15"/>
      <c r="L37" s="15"/>
      <c r="M37" s="22">
        <f>IF(COUNT(J37:L37)=0,"",SUM(J37:L37))</f>
      </c>
      <c r="N37" s="22">
        <f>IF(M37="","",IF(M37&gt;=CONFIG!$C$7,"Highly Critical",IF(M37&gt;=CONFIG!$C$8,"Critical",IF(M37&gt;=CONFIG!$C$9,"Moderately Critical","Noncritical"))))</f>
      </c>
      <c r="O37" s="20"/>
    </row>
    <row r="38" spans="1:15" x14ac:dyDescent="0.25">
      <c r="A38" s="16">
        <f>ROW()-1</f>
      </c>
      <c r="B38" s="14">
        <f>IF('LIST OF POSITIONS'!B38="","",'LIST OF POSITIONS'!B38)</f>
      </c>
      <c r="C38" s="15"/>
      <c r="D38" s="15"/>
      <c r="E38" s="16">
        <f>IF(OR(C38="",D38=""),"",C38-D38)</f>
      </c>
      <c r="F38" s="15"/>
      <c r="G38" s="16">
        <f>IF(AND(E38="",F38=""),"",N(E38)+N(F38))</f>
      </c>
      <c r="H38" s="15"/>
      <c r="I38" s="15"/>
      <c r="J38" s="15"/>
      <c r="K38" s="15"/>
      <c r="L38" s="15"/>
      <c r="M38" s="22">
        <f>IF(COUNT(J38:L38)=0,"",SUM(J38:L38))</f>
      </c>
      <c r="N38" s="22">
        <f>IF(M38="","",IF(M38&gt;=CONFIG!$C$7,"Highly Critical",IF(M38&gt;=CONFIG!$C$8,"Critical",IF(M38&gt;=CONFIG!$C$9,"Moderately Critical","Noncritical"))))</f>
      </c>
      <c r="O38" s="20"/>
    </row>
    <row r="39" spans="1:15" x14ac:dyDescent="0.25">
      <c r="A39" s="16">
        <f>ROW()-1</f>
      </c>
      <c r="B39" s="14">
        <f>IF('LIST OF POSITIONS'!B39="","",'LIST OF POSITIONS'!B39)</f>
      </c>
      <c r="C39" s="15"/>
      <c r="D39" s="15"/>
      <c r="E39" s="16">
        <f>IF(OR(C39="",D39=""),"",C39-D39)</f>
      </c>
      <c r="F39" s="15"/>
      <c r="G39" s="16">
        <f>IF(AND(E39="",F39=""),"",N(E39)+N(F39))</f>
      </c>
      <c r="H39" s="15"/>
      <c r="I39" s="15"/>
      <c r="J39" s="15"/>
      <c r="K39" s="15"/>
      <c r="L39" s="15"/>
      <c r="M39" s="22">
        <f>IF(COUNT(J39:L39)=0,"",SUM(J39:L39))</f>
      </c>
      <c r="N39" s="22">
        <f>IF(M39="","",IF(M39&gt;=CONFIG!$C$7,"Highly Critical",IF(M39&gt;=CONFIG!$C$8,"Critical",IF(M39&gt;=CONFIG!$C$9,"Moderately Critical","Noncritical"))))</f>
      </c>
      <c r="O39" s="20"/>
    </row>
    <row r="40" spans="2:7" x14ac:dyDescent="0.25">
      <c r="B40" s="23" t="s">
        <v>180</v>
      </c>
      <c r="C40" s="13">
        <f>SUM(C2:C39)</f>
      </c>
      <c r="D40" s="13">
        <f>SUM(D2:D39)</f>
      </c>
      <c r="E40" s="13">
        <f>SUM(E2:E39)</f>
      </c>
      <c r="F40" s="13">
        <f>SUM(F2:F39)</f>
      </c>
      <c r="G40" s="13">
        <f>SUM(G2:G39)</f>
      </c>
    </row>
    <row r="42" spans="2:3" x14ac:dyDescent="0.25">
      <c r="B42" s="3" t="s">
        <v>181</v>
      </c>
      <c r="C42" s="22">
        <f>COUNTIF(N2:N39,"Highly Critical")</f>
      </c>
    </row>
    <row r="43" spans="2:3" x14ac:dyDescent="0.25">
      <c r="B43" s="3" t="s">
        <v>182</v>
      </c>
      <c r="C43" s="22">
        <f>COUNTIF(N2:N39,"Critical")</f>
      </c>
    </row>
  </sheetData>
  <dataValidations count="4">
    <dataValidation type="list" allowBlank="1" showErrorMessage="1" errorTitle="Not a valid entry" error="Pick one of the listed values." sqref="H10:H39">
      <formula1>"O,VS,S,US"</formula1>
    </dataValidation>
    <dataValidation type="list" allowBlank="1" showErrorMessage="1" errorTitle="Not a valid entry" error="Pick one of the listed values." sqref="H2:H39">
      <formula1>"O,VS,S,US"</formula1>
    </dataValidation>
    <dataValidation type="list" allowBlank="1" showErrorMessage="1" errorTitle="Not a valid entry" error="Pick one of the listed values." sqref="I10:I39">
      <formula1>"Meeting,Not Meeting"</formula1>
    </dataValidation>
    <dataValidation type="list" allowBlank="1" showErrorMessage="1" errorTitle="Not a valid entry" error="Pick one of the listed values." sqref="I2:I39">
      <formula1>"Meeting,Not Meeting"</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F46E5"/>
  </sheetPr>
  <dimension ref="A1:K73"/>
  <sheetViews>
    <sheetView workbookViewId="0">
      <pane xSplit="2" ySplit="1" topLeftCell="C2" activePane="bottomRight" state="frozen"/>
      <selection pane="bottomRight"/>
    </sheetView>
  </sheetViews>
  <sheetFormatPr defaultRowHeight="15" outlineLevelRow="0" outlineLevelCol="0" x14ac:dyDescent="55"/>
  <cols>
    <col min="1" max="1" width="46" customWidth="1"/>
    <col min="2" max="2" width="26" customWidth="1"/>
    <col min="3" max="7" width="13" customWidth="1"/>
    <col min="8" max="8" width="11" customWidth="1"/>
    <col min="9" max="10" width="13" customWidth="1"/>
    <col min="11" max="11" width="15" customWidth="1"/>
  </cols>
  <sheetData>
    <row r="1" ht="34" customHeight="1" spans="1:11" x14ac:dyDescent="0.25">
      <c r="A1" s="19" t="s">
        <v>183</v>
      </c>
      <c r="B1" s="19" t="s">
        <v>141</v>
      </c>
      <c r="C1" s="19" t="s">
        <v>143</v>
      </c>
      <c r="D1" s="19" t="s">
        <v>145</v>
      </c>
      <c r="E1" s="19" t="s">
        <v>147</v>
      </c>
      <c r="F1" s="19" t="s">
        <v>149</v>
      </c>
      <c r="G1" s="19" t="s">
        <v>151</v>
      </c>
      <c r="H1" s="19" t="s">
        <v>153</v>
      </c>
      <c r="I1" s="19" t="s">
        <v>155</v>
      </c>
      <c r="J1" s="19" t="s">
        <v>157</v>
      </c>
      <c r="K1" s="19" t="s">
        <v>159</v>
      </c>
    </row>
    <row r="2" spans="1:11" x14ac:dyDescent="0.25">
      <c r="A2" s="20" t="s">
        <v>59</v>
      </c>
      <c r="B2" s="20" t="s">
        <v>184</v>
      </c>
      <c r="C2" s="15">
        <v>4</v>
      </c>
      <c r="D2" s="15">
        <v>4</v>
      </c>
      <c r="E2" s="15">
        <v>4</v>
      </c>
      <c r="F2" s="15">
        <v>4</v>
      </c>
      <c r="G2" s="15">
        <v>4</v>
      </c>
      <c r="H2" s="15">
        <v>4</v>
      </c>
      <c r="I2" s="15">
        <v>4</v>
      </c>
      <c r="J2" s="24">
        <f>IF(COUNT(C2:I2)=0,"",SUM(C2:I2)/CONFIG!$C$14)</f>
      </c>
      <c r="K2" s="22">
        <f>IF(J2="","",IF(J2&gt;=CONFIG!$C$15,"Ready Now",IF(J2&gt;=CONFIG!$C$16,"Ready Soon",IF(J2&gt;=CONFIG!$C$17,"Ready Later","Not Ready"))))</f>
      </c>
    </row>
    <row r="3" spans="1:11" x14ac:dyDescent="0.25">
      <c r="A3" s="20" t="s">
        <v>59</v>
      </c>
      <c r="B3" s="20" t="s">
        <v>185</v>
      </c>
      <c r="C3" s="15">
        <v>4</v>
      </c>
      <c r="D3" s="15">
        <v>3</v>
      </c>
      <c r="E3" s="15">
        <v>4</v>
      </c>
      <c r="F3" s="15">
        <v>4</v>
      </c>
      <c r="G3" s="15">
        <v>3</v>
      </c>
      <c r="H3" s="15">
        <v>4</v>
      </c>
      <c r="I3" s="15">
        <v>3</v>
      </c>
      <c r="J3" s="24">
        <f>IF(COUNT(C3:I3)=0,"",SUM(C3:I3)/CONFIG!$C$14)</f>
      </c>
      <c r="K3" s="22">
        <f>IF(J3="","",IF(J3&gt;=CONFIG!$C$15,"Ready Now",IF(J3&gt;=CONFIG!$C$16,"Ready Soon",IF(J3&gt;=CONFIG!$C$17,"Ready Later","Not Ready"))))</f>
      </c>
    </row>
    <row r="4" spans="1:11" x14ac:dyDescent="0.25">
      <c r="A4" s="20" t="s">
        <v>59</v>
      </c>
      <c r="B4" s="20" t="s">
        <v>186</v>
      </c>
      <c r="C4" s="15">
        <v>3</v>
      </c>
      <c r="D4" s="15">
        <v>2</v>
      </c>
      <c r="E4" s="15">
        <v>3</v>
      </c>
      <c r="F4" s="15">
        <v>2</v>
      </c>
      <c r="G4" s="15">
        <v>3</v>
      </c>
      <c r="H4" s="15">
        <v>3</v>
      </c>
      <c r="I4" s="15">
        <v>2</v>
      </c>
      <c r="J4" s="24">
        <f>IF(COUNT(C4:I4)=0,"",SUM(C4:I4)/CONFIG!$C$14)</f>
      </c>
      <c r="K4" s="22">
        <f>IF(J4="","",IF(J4&gt;=CONFIG!$C$15,"Ready Now",IF(J4&gt;=CONFIG!$C$16,"Ready Soon",IF(J4&gt;=CONFIG!$C$17,"Ready Later","Not Ready"))))</f>
      </c>
    </row>
    <row r="5" spans="1:11" x14ac:dyDescent="0.25">
      <c r="A5" s="20"/>
      <c r="B5" s="20"/>
      <c r="C5" s="15"/>
      <c r="D5" s="15"/>
      <c r="E5" s="15"/>
      <c r="F5" s="15"/>
      <c r="G5" s="15"/>
      <c r="H5" s="15"/>
      <c r="I5" s="15"/>
      <c r="J5" s="24">
        <f>IF(COUNT(C5:I5)=0,"",SUM(C5:I5)/CONFIG!$C$14)</f>
      </c>
      <c r="K5" s="22">
        <f>IF(J5="","",IF(J5&gt;=CONFIG!$C$15,"Ready Now",IF(J5&gt;=CONFIG!$C$16,"Ready Soon",IF(J5&gt;=CONFIG!$C$17,"Ready Later","Not Ready"))))</f>
      </c>
    </row>
    <row r="6" spans="1:11" x14ac:dyDescent="0.25">
      <c r="A6" s="20"/>
      <c r="B6" s="20"/>
      <c r="C6" s="15"/>
      <c r="D6" s="15"/>
      <c r="E6" s="15"/>
      <c r="F6" s="15"/>
      <c r="G6" s="15"/>
      <c r="H6" s="15"/>
      <c r="I6" s="15"/>
      <c r="J6" s="24">
        <f>IF(COUNT(C6:I6)=0,"",SUM(C6:I6)/CONFIG!$C$14)</f>
      </c>
      <c r="K6" s="22">
        <f>IF(J6="","",IF(J6&gt;=CONFIG!$C$15,"Ready Now",IF(J6&gt;=CONFIG!$C$16,"Ready Soon",IF(J6&gt;=CONFIG!$C$17,"Ready Later","Not Ready"))))</f>
      </c>
    </row>
    <row r="7" spans="1:11" x14ac:dyDescent="0.25">
      <c r="A7" s="20"/>
      <c r="B7" s="20"/>
      <c r="C7" s="15"/>
      <c r="D7" s="15"/>
      <c r="E7" s="15"/>
      <c r="F7" s="15"/>
      <c r="G7" s="15"/>
      <c r="H7" s="15"/>
      <c r="I7" s="15"/>
      <c r="J7" s="24">
        <f>IF(COUNT(C7:I7)=0,"",SUM(C7:I7)/CONFIG!$C$14)</f>
      </c>
      <c r="K7" s="22">
        <f>IF(J7="","",IF(J7&gt;=CONFIG!$C$15,"Ready Now",IF(J7&gt;=CONFIG!$C$16,"Ready Soon",IF(J7&gt;=CONFIG!$C$17,"Ready Later","Not Ready"))))</f>
      </c>
    </row>
    <row r="8" spans="1:11" x14ac:dyDescent="0.25">
      <c r="A8" s="20"/>
      <c r="B8" s="20"/>
      <c r="C8" s="15"/>
      <c r="D8" s="15"/>
      <c r="E8" s="15"/>
      <c r="F8" s="15"/>
      <c r="G8" s="15"/>
      <c r="H8" s="15"/>
      <c r="I8" s="15"/>
      <c r="J8" s="24">
        <f>IF(COUNT(C8:I8)=0,"",SUM(C8:I8)/CONFIG!$C$14)</f>
      </c>
      <c r="K8" s="22">
        <f>IF(J8="","",IF(J8&gt;=CONFIG!$C$15,"Ready Now",IF(J8&gt;=CONFIG!$C$16,"Ready Soon",IF(J8&gt;=CONFIG!$C$17,"Ready Later","Not Ready"))))</f>
      </c>
    </row>
    <row r="9" spans="1:11" x14ac:dyDescent="0.25">
      <c r="A9" s="20"/>
      <c r="B9" s="20"/>
      <c r="C9" s="15"/>
      <c r="D9" s="15"/>
      <c r="E9" s="15"/>
      <c r="F9" s="15"/>
      <c r="G9" s="15"/>
      <c r="H9" s="15"/>
      <c r="I9" s="15"/>
      <c r="J9" s="24">
        <f>IF(COUNT(C9:I9)=0,"",SUM(C9:I9)/CONFIG!$C$14)</f>
      </c>
      <c r="K9" s="22">
        <f>IF(J9="","",IF(J9&gt;=CONFIG!$C$15,"Ready Now",IF(J9&gt;=CONFIG!$C$16,"Ready Soon",IF(J9&gt;=CONFIG!$C$17,"Ready Later","Not Ready"))))</f>
      </c>
    </row>
    <row r="10" spans="1:11" x14ac:dyDescent="0.25">
      <c r="A10" s="20"/>
      <c r="B10" s="20"/>
      <c r="C10" s="15"/>
      <c r="D10" s="15"/>
      <c r="E10" s="15"/>
      <c r="F10" s="15"/>
      <c r="G10" s="15"/>
      <c r="H10" s="15"/>
      <c r="I10" s="15"/>
      <c r="J10" s="24">
        <f>IF(COUNT(C10:I10)=0,"",SUM(C10:I10)/CONFIG!$C$14)</f>
      </c>
      <c r="K10" s="22">
        <f>IF(J10="","",IF(J10&gt;=CONFIG!$C$15,"Ready Now",IF(J10&gt;=CONFIG!$C$16,"Ready Soon",IF(J10&gt;=CONFIG!$C$17,"Ready Later","Not Ready"))))</f>
      </c>
    </row>
    <row r="11" spans="1:11" x14ac:dyDescent="0.25">
      <c r="A11" s="20"/>
      <c r="B11" s="20"/>
      <c r="C11" s="15"/>
      <c r="D11" s="15"/>
      <c r="E11" s="15"/>
      <c r="F11" s="15"/>
      <c r="G11" s="15"/>
      <c r="H11" s="15"/>
      <c r="I11" s="15"/>
      <c r="J11" s="24">
        <f>IF(COUNT(C11:I11)=0,"",SUM(C11:I11)/CONFIG!$C$14)</f>
      </c>
      <c r="K11" s="22">
        <f>IF(J11="","",IF(J11&gt;=CONFIG!$C$15,"Ready Now",IF(J11&gt;=CONFIG!$C$16,"Ready Soon",IF(J11&gt;=CONFIG!$C$17,"Ready Later","Not Ready"))))</f>
      </c>
    </row>
    <row r="12" spans="1:11" x14ac:dyDescent="0.25">
      <c r="A12" s="20"/>
      <c r="B12" s="20"/>
      <c r="C12" s="15"/>
      <c r="D12" s="15"/>
      <c r="E12" s="15"/>
      <c r="F12" s="15"/>
      <c r="G12" s="15"/>
      <c r="H12" s="15"/>
      <c r="I12" s="15"/>
      <c r="J12" s="24">
        <f>IF(COUNT(C12:I12)=0,"",SUM(C12:I12)/CONFIG!$C$14)</f>
      </c>
      <c r="K12" s="22">
        <f>IF(J12="","",IF(J12&gt;=CONFIG!$C$15,"Ready Now",IF(J12&gt;=CONFIG!$C$16,"Ready Soon",IF(J12&gt;=CONFIG!$C$17,"Ready Later","Not Ready"))))</f>
      </c>
    </row>
    <row r="13" spans="1:11" x14ac:dyDescent="0.25">
      <c r="A13" s="20"/>
      <c r="B13" s="20"/>
      <c r="C13" s="15"/>
      <c r="D13" s="15"/>
      <c r="E13" s="15"/>
      <c r="F13" s="15"/>
      <c r="G13" s="15"/>
      <c r="H13" s="15"/>
      <c r="I13" s="15"/>
      <c r="J13" s="24">
        <f>IF(COUNT(C13:I13)=0,"",SUM(C13:I13)/CONFIG!$C$14)</f>
      </c>
      <c r="K13" s="22">
        <f>IF(J13="","",IF(J13&gt;=CONFIG!$C$15,"Ready Now",IF(J13&gt;=CONFIG!$C$16,"Ready Soon",IF(J13&gt;=CONFIG!$C$17,"Ready Later","Not Ready"))))</f>
      </c>
    </row>
    <row r="14" spans="1:11" x14ac:dyDescent="0.25">
      <c r="A14" s="20"/>
      <c r="B14" s="20"/>
      <c r="C14" s="15"/>
      <c r="D14" s="15"/>
      <c r="E14" s="15"/>
      <c r="F14" s="15"/>
      <c r="G14" s="15"/>
      <c r="H14" s="15"/>
      <c r="I14" s="15"/>
      <c r="J14" s="24">
        <f>IF(COUNT(C14:I14)=0,"",SUM(C14:I14)/CONFIG!$C$14)</f>
      </c>
      <c r="K14" s="22">
        <f>IF(J14="","",IF(J14&gt;=CONFIG!$C$15,"Ready Now",IF(J14&gt;=CONFIG!$C$16,"Ready Soon",IF(J14&gt;=CONFIG!$C$17,"Ready Later","Not Ready"))))</f>
      </c>
    </row>
    <row r="15" spans="1:11" x14ac:dyDescent="0.25">
      <c r="A15" s="20"/>
      <c r="B15" s="20"/>
      <c r="C15" s="15"/>
      <c r="D15" s="15"/>
      <c r="E15" s="15"/>
      <c r="F15" s="15"/>
      <c r="G15" s="15"/>
      <c r="H15" s="15"/>
      <c r="I15" s="15"/>
      <c r="J15" s="24">
        <f>IF(COUNT(C15:I15)=0,"",SUM(C15:I15)/CONFIG!$C$14)</f>
      </c>
      <c r="K15" s="22">
        <f>IF(J15="","",IF(J15&gt;=CONFIG!$C$15,"Ready Now",IF(J15&gt;=CONFIG!$C$16,"Ready Soon",IF(J15&gt;=CONFIG!$C$17,"Ready Later","Not Ready"))))</f>
      </c>
    </row>
    <row r="16" spans="1:11" x14ac:dyDescent="0.25">
      <c r="A16" s="20"/>
      <c r="B16" s="20"/>
      <c r="C16" s="15"/>
      <c r="D16" s="15"/>
      <c r="E16" s="15"/>
      <c r="F16" s="15"/>
      <c r="G16" s="15"/>
      <c r="H16" s="15"/>
      <c r="I16" s="15"/>
      <c r="J16" s="24">
        <f>IF(COUNT(C16:I16)=0,"",SUM(C16:I16)/CONFIG!$C$14)</f>
      </c>
      <c r="K16" s="22">
        <f>IF(J16="","",IF(J16&gt;=CONFIG!$C$15,"Ready Now",IF(J16&gt;=CONFIG!$C$16,"Ready Soon",IF(J16&gt;=CONFIG!$C$17,"Ready Later","Not Ready"))))</f>
      </c>
    </row>
    <row r="17" spans="1:11" x14ac:dyDescent="0.25">
      <c r="A17" s="20"/>
      <c r="B17" s="20"/>
      <c r="C17" s="15"/>
      <c r="D17" s="15"/>
      <c r="E17" s="15"/>
      <c r="F17" s="15"/>
      <c r="G17" s="15"/>
      <c r="H17" s="15"/>
      <c r="I17" s="15"/>
      <c r="J17" s="24">
        <f>IF(COUNT(C17:I17)=0,"",SUM(C17:I17)/CONFIG!$C$14)</f>
      </c>
      <c r="K17" s="22">
        <f>IF(J17="","",IF(J17&gt;=CONFIG!$C$15,"Ready Now",IF(J17&gt;=CONFIG!$C$16,"Ready Soon",IF(J17&gt;=CONFIG!$C$17,"Ready Later","Not Ready"))))</f>
      </c>
    </row>
    <row r="18" spans="1:11" x14ac:dyDescent="0.25">
      <c r="A18" s="20"/>
      <c r="B18" s="20"/>
      <c r="C18" s="15"/>
      <c r="D18" s="15"/>
      <c r="E18" s="15"/>
      <c r="F18" s="15"/>
      <c r="G18" s="15"/>
      <c r="H18" s="15"/>
      <c r="I18" s="15"/>
      <c r="J18" s="24">
        <f>IF(COUNT(C18:I18)=0,"",SUM(C18:I18)/CONFIG!$C$14)</f>
      </c>
      <c r="K18" s="22">
        <f>IF(J18="","",IF(J18&gt;=CONFIG!$C$15,"Ready Now",IF(J18&gt;=CONFIG!$C$16,"Ready Soon",IF(J18&gt;=CONFIG!$C$17,"Ready Later","Not Ready"))))</f>
      </c>
    </row>
    <row r="19" spans="1:11" x14ac:dyDescent="0.25">
      <c r="A19" s="20"/>
      <c r="B19" s="20"/>
      <c r="C19" s="15"/>
      <c r="D19" s="15"/>
      <c r="E19" s="15"/>
      <c r="F19" s="15"/>
      <c r="G19" s="15"/>
      <c r="H19" s="15"/>
      <c r="I19" s="15"/>
      <c r="J19" s="24">
        <f>IF(COUNT(C19:I19)=0,"",SUM(C19:I19)/CONFIG!$C$14)</f>
      </c>
      <c r="K19" s="22">
        <f>IF(J19="","",IF(J19&gt;=CONFIG!$C$15,"Ready Now",IF(J19&gt;=CONFIG!$C$16,"Ready Soon",IF(J19&gt;=CONFIG!$C$17,"Ready Later","Not Ready"))))</f>
      </c>
    </row>
    <row r="20" spans="1:11" x14ac:dyDescent="0.25">
      <c r="A20" s="20"/>
      <c r="B20" s="20"/>
      <c r="C20" s="15"/>
      <c r="D20" s="15"/>
      <c r="E20" s="15"/>
      <c r="F20" s="15"/>
      <c r="G20" s="15"/>
      <c r="H20" s="15"/>
      <c r="I20" s="15"/>
      <c r="J20" s="24">
        <f>IF(COUNT(C20:I20)=0,"",SUM(C20:I20)/CONFIG!$C$14)</f>
      </c>
      <c r="K20" s="22">
        <f>IF(J20="","",IF(J20&gt;=CONFIG!$C$15,"Ready Now",IF(J20&gt;=CONFIG!$C$16,"Ready Soon",IF(J20&gt;=CONFIG!$C$17,"Ready Later","Not Ready"))))</f>
      </c>
    </row>
    <row r="21" spans="1:11" x14ac:dyDescent="0.25">
      <c r="A21" s="20"/>
      <c r="B21" s="20"/>
      <c r="C21" s="15"/>
      <c r="D21" s="15"/>
      <c r="E21" s="15"/>
      <c r="F21" s="15"/>
      <c r="G21" s="15"/>
      <c r="H21" s="15"/>
      <c r="I21" s="15"/>
      <c r="J21" s="24">
        <f>IF(COUNT(C21:I21)=0,"",SUM(C21:I21)/CONFIG!$C$14)</f>
      </c>
      <c r="K21" s="22">
        <f>IF(J21="","",IF(J21&gt;=CONFIG!$C$15,"Ready Now",IF(J21&gt;=CONFIG!$C$16,"Ready Soon",IF(J21&gt;=CONFIG!$C$17,"Ready Later","Not Ready"))))</f>
      </c>
    </row>
    <row r="22" spans="1:11" x14ac:dyDescent="0.25">
      <c r="A22" s="20"/>
      <c r="B22" s="20"/>
      <c r="C22" s="15"/>
      <c r="D22" s="15"/>
      <c r="E22" s="15"/>
      <c r="F22" s="15"/>
      <c r="G22" s="15"/>
      <c r="H22" s="15"/>
      <c r="I22" s="15"/>
      <c r="J22" s="24">
        <f>IF(COUNT(C22:I22)=0,"",SUM(C22:I22)/CONFIG!$C$14)</f>
      </c>
      <c r="K22" s="22">
        <f>IF(J22="","",IF(J22&gt;=CONFIG!$C$15,"Ready Now",IF(J22&gt;=CONFIG!$C$16,"Ready Soon",IF(J22&gt;=CONFIG!$C$17,"Ready Later","Not Ready"))))</f>
      </c>
    </row>
    <row r="23" spans="1:11" x14ac:dyDescent="0.25">
      <c r="A23" s="20"/>
      <c r="B23" s="20"/>
      <c r="C23" s="15"/>
      <c r="D23" s="15"/>
      <c r="E23" s="15"/>
      <c r="F23" s="15"/>
      <c r="G23" s="15"/>
      <c r="H23" s="15"/>
      <c r="I23" s="15"/>
      <c r="J23" s="24">
        <f>IF(COUNT(C23:I23)=0,"",SUM(C23:I23)/CONFIG!$C$14)</f>
      </c>
      <c r="K23" s="22">
        <f>IF(J23="","",IF(J23&gt;=CONFIG!$C$15,"Ready Now",IF(J23&gt;=CONFIG!$C$16,"Ready Soon",IF(J23&gt;=CONFIG!$C$17,"Ready Later","Not Ready"))))</f>
      </c>
    </row>
    <row r="24" spans="1:11" x14ac:dyDescent="0.25">
      <c r="A24" s="20"/>
      <c r="B24" s="20"/>
      <c r="C24" s="15"/>
      <c r="D24" s="15"/>
      <c r="E24" s="15"/>
      <c r="F24" s="15"/>
      <c r="G24" s="15"/>
      <c r="H24" s="15"/>
      <c r="I24" s="15"/>
      <c r="J24" s="24">
        <f>IF(COUNT(C24:I24)=0,"",SUM(C24:I24)/CONFIG!$C$14)</f>
      </c>
      <c r="K24" s="22">
        <f>IF(J24="","",IF(J24&gt;=CONFIG!$C$15,"Ready Now",IF(J24&gt;=CONFIG!$C$16,"Ready Soon",IF(J24&gt;=CONFIG!$C$17,"Ready Later","Not Ready"))))</f>
      </c>
    </row>
    <row r="25" spans="1:11" x14ac:dyDescent="0.25">
      <c r="A25" s="20"/>
      <c r="B25" s="20"/>
      <c r="C25" s="15"/>
      <c r="D25" s="15"/>
      <c r="E25" s="15"/>
      <c r="F25" s="15"/>
      <c r="G25" s="15"/>
      <c r="H25" s="15"/>
      <c r="I25" s="15"/>
      <c r="J25" s="24">
        <f>IF(COUNT(C25:I25)=0,"",SUM(C25:I25)/CONFIG!$C$14)</f>
      </c>
      <c r="K25" s="22">
        <f>IF(J25="","",IF(J25&gt;=CONFIG!$C$15,"Ready Now",IF(J25&gt;=CONFIG!$C$16,"Ready Soon",IF(J25&gt;=CONFIG!$C$17,"Ready Later","Not Ready"))))</f>
      </c>
    </row>
    <row r="26" spans="1:11" x14ac:dyDescent="0.25">
      <c r="A26" s="20"/>
      <c r="B26" s="20"/>
      <c r="C26" s="15"/>
      <c r="D26" s="15"/>
      <c r="E26" s="15"/>
      <c r="F26" s="15"/>
      <c r="G26" s="15"/>
      <c r="H26" s="15"/>
      <c r="I26" s="15"/>
      <c r="J26" s="24">
        <f>IF(COUNT(C26:I26)=0,"",SUM(C26:I26)/CONFIG!$C$14)</f>
      </c>
      <c r="K26" s="22">
        <f>IF(J26="","",IF(J26&gt;=CONFIG!$C$15,"Ready Now",IF(J26&gt;=CONFIG!$C$16,"Ready Soon",IF(J26&gt;=CONFIG!$C$17,"Ready Later","Not Ready"))))</f>
      </c>
    </row>
    <row r="27" spans="1:11" x14ac:dyDescent="0.25">
      <c r="A27" s="20"/>
      <c r="B27" s="20"/>
      <c r="C27" s="15"/>
      <c r="D27" s="15"/>
      <c r="E27" s="15"/>
      <c r="F27" s="15"/>
      <c r="G27" s="15"/>
      <c r="H27" s="15"/>
      <c r="I27" s="15"/>
      <c r="J27" s="24">
        <f>IF(COUNT(C27:I27)=0,"",SUM(C27:I27)/CONFIG!$C$14)</f>
      </c>
      <c r="K27" s="22">
        <f>IF(J27="","",IF(J27&gt;=CONFIG!$C$15,"Ready Now",IF(J27&gt;=CONFIG!$C$16,"Ready Soon",IF(J27&gt;=CONFIG!$C$17,"Ready Later","Not Ready"))))</f>
      </c>
    </row>
    <row r="28" spans="1:11" x14ac:dyDescent="0.25">
      <c r="A28" s="20"/>
      <c r="B28" s="20"/>
      <c r="C28" s="15"/>
      <c r="D28" s="15"/>
      <c r="E28" s="15"/>
      <c r="F28" s="15"/>
      <c r="G28" s="15"/>
      <c r="H28" s="15"/>
      <c r="I28" s="15"/>
      <c r="J28" s="24">
        <f>IF(COUNT(C28:I28)=0,"",SUM(C28:I28)/CONFIG!$C$14)</f>
      </c>
      <c r="K28" s="22">
        <f>IF(J28="","",IF(J28&gt;=CONFIG!$C$15,"Ready Now",IF(J28&gt;=CONFIG!$C$16,"Ready Soon",IF(J28&gt;=CONFIG!$C$17,"Ready Later","Not Ready"))))</f>
      </c>
    </row>
    <row r="29" spans="1:11" x14ac:dyDescent="0.25">
      <c r="A29" s="20"/>
      <c r="B29" s="20"/>
      <c r="C29" s="15"/>
      <c r="D29" s="15"/>
      <c r="E29" s="15"/>
      <c r="F29" s="15"/>
      <c r="G29" s="15"/>
      <c r="H29" s="15"/>
      <c r="I29" s="15"/>
      <c r="J29" s="24">
        <f>IF(COUNT(C29:I29)=0,"",SUM(C29:I29)/CONFIG!$C$14)</f>
      </c>
      <c r="K29" s="22">
        <f>IF(J29="","",IF(J29&gt;=CONFIG!$C$15,"Ready Now",IF(J29&gt;=CONFIG!$C$16,"Ready Soon",IF(J29&gt;=CONFIG!$C$17,"Ready Later","Not Ready"))))</f>
      </c>
    </row>
    <row r="30" spans="1:11" x14ac:dyDescent="0.25">
      <c r="A30" s="20"/>
      <c r="B30" s="20"/>
      <c r="C30" s="15"/>
      <c r="D30" s="15"/>
      <c r="E30" s="15"/>
      <c r="F30" s="15"/>
      <c r="G30" s="15"/>
      <c r="H30" s="15"/>
      <c r="I30" s="15"/>
      <c r="J30" s="24">
        <f>IF(COUNT(C30:I30)=0,"",SUM(C30:I30)/CONFIG!$C$14)</f>
      </c>
      <c r="K30" s="22">
        <f>IF(J30="","",IF(J30&gt;=CONFIG!$C$15,"Ready Now",IF(J30&gt;=CONFIG!$C$16,"Ready Soon",IF(J30&gt;=CONFIG!$C$17,"Ready Later","Not Ready"))))</f>
      </c>
    </row>
    <row r="31" spans="1:11" x14ac:dyDescent="0.25">
      <c r="A31" s="20"/>
      <c r="B31" s="20"/>
      <c r="C31" s="15"/>
      <c r="D31" s="15"/>
      <c r="E31" s="15"/>
      <c r="F31" s="15"/>
      <c r="G31" s="15"/>
      <c r="H31" s="15"/>
      <c r="I31" s="15"/>
      <c r="J31" s="24">
        <f>IF(COUNT(C31:I31)=0,"",SUM(C31:I31)/CONFIG!$C$14)</f>
      </c>
      <c r="K31" s="22">
        <f>IF(J31="","",IF(J31&gt;=CONFIG!$C$15,"Ready Now",IF(J31&gt;=CONFIG!$C$16,"Ready Soon",IF(J31&gt;=CONFIG!$C$17,"Ready Later","Not Ready"))))</f>
      </c>
    </row>
    <row r="32" spans="1:11" x14ac:dyDescent="0.25">
      <c r="A32" s="20"/>
      <c r="B32" s="20"/>
      <c r="C32" s="15"/>
      <c r="D32" s="15"/>
      <c r="E32" s="15"/>
      <c r="F32" s="15"/>
      <c r="G32" s="15"/>
      <c r="H32" s="15"/>
      <c r="I32" s="15"/>
      <c r="J32" s="24">
        <f>IF(COUNT(C32:I32)=0,"",SUM(C32:I32)/CONFIG!$C$14)</f>
      </c>
      <c r="K32" s="22">
        <f>IF(J32="","",IF(J32&gt;=CONFIG!$C$15,"Ready Now",IF(J32&gt;=CONFIG!$C$16,"Ready Soon",IF(J32&gt;=CONFIG!$C$17,"Ready Later","Not Ready"))))</f>
      </c>
    </row>
    <row r="33" spans="1:11" x14ac:dyDescent="0.25">
      <c r="A33" s="20"/>
      <c r="B33" s="20"/>
      <c r="C33" s="15"/>
      <c r="D33" s="15"/>
      <c r="E33" s="15"/>
      <c r="F33" s="15"/>
      <c r="G33" s="15"/>
      <c r="H33" s="15"/>
      <c r="I33" s="15"/>
      <c r="J33" s="24">
        <f>IF(COUNT(C33:I33)=0,"",SUM(C33:I33)/CONFIG!$C$14)</f>
      </c>
      <c r="K33" s="22">
        <f>IF(J33="","",IF(J33&gt;=CONFIG!$C$15,"Ready Now",IF(J33&gt;=CONFIG!$C$16,"Ready Soon",IF(J33&gt;=CONFIG!$C$17,"Ready Later","Not Ready"))))</f>
      </c>
    </row>
    <row r="34" spans="1:11" x14ac:dyDescent="0.25">
      <c r="A34" s="20"/>
      <c r="B34" s="20"/>
      <c r="C34" s="15"/>
      <c r="D34" s="15"/>
      <c r="E34" s="15"/>
      <c r="F34" s="15"/>
      <c r="G34" s="15"/>
      <c r="H34" s="15"/>
      <c r="I34" s="15"/>
      <c r="J34" s="24">
        <f>IF(COUNT(C34:I34)=0,"",SUM(C34:I34)/CONFIG!$C$14)</f>
      </c>
      <c r="K34" s="22">
        <f>IF(J34="","",IF(J34&gt;=CONFIG!$C$15,"Ready Now",IF(J34&gt;=CONFIG!$C$16,"Ready Soon",IF(J34&gt;=CONFIG!$C$17,"Ready Later","Not Ready"))))</f>
      </c>
    </row>
    <row r="35" spans="1:11" x14ac:dyDescent="0.25">
      <c r="A35" s="20"/>
      <c r="B35" s="20"/>
      <c r="C35" s="15"/>
      <c r="D35" s="15"/>
      <c r="E35" s="15"/>
      <c r="F35" s="15"/>
      <c r="G35" s="15"/>
      <c r="H35" s="15"/>
      <c r="I35" s="15"/>
      <c r="J35" s="24">
        <f>IF(COUNT(C35:I35)=0,"",SUM(C35:I35)/CONFIG!$C$14)</f>
      </c>
      <c r="K35" s="22">
        <f>IF(J35="","",IF(J35&gt;=CONFIG!$C$15,"Ready Now",IF(J35&gt;=CONFIG!$C$16,"Ready Soon",IF(J35&gt;=CONFIG!$C$17,"Ready Later","Not Ready"))))</f>
      </c>
    </row>
    <row r="36" spans="1:11" x14ac:dyDescent="0.25">
      <c r="A36" s="20"/>
      <c r="B36" s="20"/>
      <c r="C36" s="15"/>
      <c r="D36" s="15"/>
      <c r="E36" s="15"/>
      <c r="F36" s="15"/>
      <c r="G36" s="15"/>
      <c r="H36" s="15"/>
      <c r="I36" s="15"/>
      <c r="J36" s="24">
        <f>IF(COUNT(C36:I36)=0,"",SUM(C36:I36)/CONFIG!$C$14)</f>
      </c>
      <c r="K36" s="22">
        <f>IF(J36="","",IF(J36&gt;=CONFIG!$C$15,"Ready Now",IF(J36&gt;=CONFIG!$C$16,"Ready Soon",IF(J36&gt;=CONFIG!$C$17,"Ready Later","Not Ready"))))</f>
      </c>
    </row>
    <row r="37" spans="1:11" x14ac:dyDescent="0.25">
      <c r="A37" s="20"/>
      <c r="B37" s="20"/>
      <c r="C37" s="15"/>
      <c r="D37" s="15"/>
      <c r="E37" s="15"/>
      <c r="F37" s="15"/>
      <c r="G37" s="15"/>
      <c r="H37" s="15"/>
      <c r="I37" s="15"/>
      <c r="J37" s="24">
        <f>IF(COUNT(C37:I37)=0,"",SUM(C37:I37)/CONFIG!$C$14)</f>
      </c>
      <c r="K37" s="22">
        <f>IF(J37="","",IF(J37&gt;=CONFIG!$C$15,"Ready Now",IF(J37&gt;=CONFIG!$C$16,"Ready Soon",IF(J37&gt;=CONFIG!$C$17,"Ready Later","Not Ready"))))</f>
      </c>
    </row>
    <row r="38" spans="1:11" x14ac:dyDescent="0.25">
      <c r="A38" s="20"/>
      <c r="B38" s="20"/>
      <c r="C38" s="15"/>
      <c r="D38" s="15"/>
      <c r="E38" s="15"/>
      <c r="F38" s="15"/>
      <c r="G38" s="15"/>
      <c r="H38" s="15"/>
      <c r="I38" s="15"/>
      <c r="J38" s="24">
        <f>IF(COUNT(C38:I38)=0,"",SUM(C38:I38)/CONFIG!$C$14)</f>
      </c>
      <c r="K38" s="22">
        <f>IF(J38="","",IF(J38&gt;=CONFIG!$C$15,"Ready Now",IF(J38&gt;=CONFIG!$C$16,"Ready Soon",IF(J38&gt;=CONFIG!$C$17,"Ready Later","Not Ready"))))</f>
      </c>
    </row>
    <row r="39" spans="1:11" x14ac:dyDescent="0.25">
      <c r="A39" s="20"/>
      <c r="B39" s="20"/>
      <c r="C39" s="15"/>
      <c r="D39" s="15"/>
      <c r="E39" s="15"/>
      <c r="F39" s="15"/>
      <c r="G39" s="15"/>
      <c r="H39" s="15"/>
      <c r="I39" s="15"/>
      <c r="J39" s="24">
        <f>IF(COUNT(C39:I39)=0,"",SUM(C39:I39)/CONFIG!$C$14)</f>
      </c>
      <c r="K39" s="22">
        <f>IF(J39="","",IF(J39&gt;=CONFIG!$C$15,"Ready Now",IF(J39&gt;=CONFIG!$C$16,"Ready Soon",IF(J39&gt;=CONFIG!$C$17,"Ready Later","Not Ready"))))</f>
      </c>
    </row>
    <row r="40" spans="1:11" x14ac:dyDescent="0.25">
      <c r="A40" s="20"/>
      <c r="B40" s="20"/>
      <c r="C40" s="15"/>
      <c r="D40" s="15"/>
      <c r="E40" s="15"/>
      <c r="F40" s="15"/>
      <c r="G40" s="15"/>
      <c r="H40" s="15"/>
      <c r="I40" s="15"/>
      <c r="J40" s="24">
        <f>IF(COUNT(C40:I40)=0,"",SUM(C40:I40)/CONFIG!$C$14)</f>
      </c>
      <c r="K40" s="22">
        <f>IF(J40="","",IF(J40&gt;=CONFIG!$C$15,"Ready Now",IF(J40&gt;=CONFIG!$C$16,"Ready Soon",IF(J40&gt;=CONFIG!$C$17,"Ready Later","Not Ready"))))</f>
      </c>
    </row>
    <row r="41" spans="1:11" x14ac:dyDescent="0.25">
      <c r="A41" s="20"/>
      <c r="B41" s="20"/>
      <c r="C41" s="15"/>
      <c r="D41" s="15"/>
      <c r="E41" s="15"/>
      <c r="F41" s="15"/>
      <c r="G41" s="15"/>
      <c r="H41" s="15"/>
      <c r="I41" s="15"/>
      <c r="J41" s="24">
        <f>IF(COUNT(C41:I41)=0,"",SUM(C41:I41)/CONFIG!$C$14)</f>
      </c>
      <c r="K41" s="22">
        <f>IF(J41="","",IF(J41&gt;=CONFIG!$C$15,"Ready Now",IF(J41&gt;=CONFIG!$C$16,"Ready Soon",IF(J41&gt;=CONFIG!$C$17,"Ready Later","Not Ready"))))</f>
      </c>
    </row>
    <row r="42" spans="1:11" x14ac:dyDescent="0.25">
      <c r="A42" s="20"/>
      <c r="B42" s="20"/>
      <c r="C42" s="15"/>
      <c r="D42" s="15"/>
      <c r="E42" s="15"/>
      <c r="F42" s="15"/>
      <c r="G42" s="15"/>
      <c r="H42" s="15"/>
      <c r="I42" s="15"/>
      <c r="J42" s="24">
        <f>IF(COUNT(C42:I42)=0,"",SUM(C42:I42)/CONFIG!$C$14)</f>
      </c>
      <c r="K42" s="22">
        <f>IF(J42="","",IF(J42&gt;=CONFIG!$C$15,"Ready Now",IF(J42&gt;=CONFIG!$C$16,"Ready Soon",IF(J42&gt;=CONFIG!$C$17,"Ready Later","Not Ready"))))</f>
      </c>
    </row>
    <row r="43" spans="1:11" x14ac:dyDescent="0.25">
      <c r="A43" s="20"/>
      <c r="B43" s="20"/>
      <c r="C43" s="15"/>
      <c r="D43" s="15"/>
      <c r="E43" s="15"/>
      <c r="F43" s="15"/>
      <c r="G43" s="15"/>
      <c r="H43" s="15"/>
      <c r="I43" s="15"/>
      <c r="J43" s="24">
        <f>IF(COUNT(C43:I43)=0,"",SUM(C43:I43)/CONFIG!$C$14)</f>
      </c>
      <c r="K43" s="22">
        <f>IF(J43="","",IF(J43&gt;=CONFIG!$C$15,"Ready Now",IF(J43&gt;=CONFIG!$C$16,"Ready Soon",IF(J43&gt;=CONFIG!$C$17,"Ready Later","Not Ready"))))</f>
      </c>
    </row>
    <row r="44" spans="1:11" x14ac:dyDescent="0.25">
      <c r="A44" s="20"/>
      <c r="B44" s="20"/>
      <c r="C44" s="15"/>
      <c r="D44" s="15"/>
      <c r="E44" s="15"/>
      <c r="F44" s="15"/>
      <c r="G44" s="15"/>
      <c r="H44" s="15"/>
      <c r="I44" s="15"/>
      <c r="J44" s="24">
        <f>IF(COUNT(C44:I44)=0,"",SUM(C44:I44)/CONFIG!$C$14)</f>
      </c>
      <c r="K44" s="22">
        <f>IF(J44="","",IF(J44&gt;=CONFIG!$C$15,"Ready Now",IF(J44&gt;=CONFIG!$C$16,"Ready Soon",IF(J44&gt;=CONFIG!$C$17,"Ready Later","Not Ready"))))</f>
      </c>
    </row>
    <row r="45" spans="1:11" x14ac:dyDescent="0.25">
      <c r="A45" s="20"/>
      <c r="B45" s="20"/>
      <c r="C45" s="15"/>
      <c r="D45" s="15"/>
      <c r="E45" s="15"/>
      <c r="F45" s="15"/>
      <c r="G45" s="15"/>
      <c r="H45" s="15"/>
      <c r="I45" s="15"/>
      <c r="J45" s="24">
        <f>IF(COUNT(C45:I45)=0,"",SUM(C45:I45)/CONFIG!$C$14)</f>
      </c>
      <c r="K45" s="22">
        <f>IF(J45="","",IF(J45&gt;=CONFIG!$C$15,"Ready Now",IF(J45&gt;=CONFIG!$C$16,"Ready Soon",IF(J45&gt;=CONFIG!$C$17,"Ready Later","Not Ready"))))</f>
      </c>
    </row>
    <row r="46" spans="1:11" x14ac:dyDescent="0.25">
      <c r="A46" s="20"/>
      <c r="B46" s="20"/>
      <c r="C46" s="15"/>
      <c r="D46" s="15"/>
      <c r="E46" s="15"/>
      <c r="F46" s="15"/>
      <c r="G46" s="15"/>
      <c r="H46" s="15"/>
      <c r="I46" s="15"/>
      <c r="J46" s="24">
        <f>IF(COUNT(C46:I46)=0,"",SUM(C46:I46)/CONFIG!$C$14)</f>
      </c>
      <c r="K46" s="22">
        <f>IF(J46="","",IF(J46&gt;=CONFIG!$C$15,"Ready Now",IF(J46&gt;=CONFIG!$C$16,"Ready Soon",IF(J46&gt;=CONFIG!$C$17,"Ready Later","Not Ready"))))</f>
      </c>
    </row>
    <row r="47" spans="1:11" x14ac:dyDescent="0.25">
      <c r="A47" s="20"/>
      <c r="B47" s="20"/>
      <c r="C47" s="15"/>
      <c r="D47" s="15"/>
      <c r="E47" s="15"/>
      <c r="F47" s="15"/>
      <c r="G47" s="15"/>
      <c r="H47" s="15"/>
      <c r="I47" s="15"/>
      <c r="J47" s="24">
        <f>IF(COUNT(C47:I47)=0,"",SUM(C47:I47)/CONFIG!$C$14)</f>
      </c>
      <c r="K47" s="22">
        <f>IF(J47="","",IF(J47&gt;=CONFIG!$C$15,"Ready Now",IF(J47&gt;=CONFIG!$C$16,"Ready Soon",IF(J47&gt;=CONFIG!$C$17,"Ready Later","Not Ready"))))</f>
      </c>
    </row>
    <row r="48" spans="1:11" x14ac:dyDescent="0.25">
      <c r="A48" s="20"/>
      <c r="B48" s="20"/>
      <c r="C48" s="15"/>
      <c r="D48" s="15"/>
      <c r="E48" s="15"/>
      <c r="F48" s="15"/>
      <c r="G48" s="15"/>
      <c r="H48" s="15"/>
      <c r="I48" s="15"/>
      <c r="J48" s="24">
        <f>IF(COUNT(C48:I48)=0,"",SUM(C48:I48)/CONFIG!$C$14)</f>
      </c>
      <c r="K48" s="22">
        <f>IF(J48="","",IF(J48&gt;=CONFIG!$C$15,"Ready Now",IF(J48&gt;=CONFIG!$C$16,"Ready Soon",IF(J48&gt;=CONFIG!$C$17,"Ready Later","Not Ready"))))</f>
      </c>
    </row>
    <row r="49" spans="1:11" x14ac:dyDescent="0.25">
      <c r="A49" s="20"/>
      <c r="B49" s="20"/>
      <c r="C49" s="15"/>
      <c r="D49" s="15"/>
      <c r="E49" s="15"/>
      <c r="F49" s="15"/>
      <c r="G49" s="15"/>
      <c r="H49" s="15"/>
      <c r="I49" s="15"/>
      <c r="J49" s="24">
        <f>IF(COUNT(C49:I49)=0,"",SUM(C49:I49)/CONFIG!$C$14)</f>
      </c>
      <c r="K49" s="22">
        <f>IF(J49="","",IF(J49&gt;=CONFIG!$C$15,"Ready Now",IF(J49&gt;=CONFIG!$C$16,"Ready Soon",IF(J49&gt;=CONFIG!$C$17,"Ready Later","Not Ready"))))</f>
      </c>
    </row>
    <row r="50" spans="1:11" x14ac:dyDescent="0.25">
      <c r="A50" s="20"/>
      <c r="B50" s="20"/>
      <c r="C50" s="15"/>
      <c r="D50" s="15"/>
      <c r="E50" s="15"/>
      <c r="F50" s="15"/>
      <c r="G50" s="15"/>
      <c r="H50" s="15"/>
      <c r="I50" s="15"/>
      <c r="J50" s="24">
        <f>IF(COUNT(C50:I50)=0,"",SUM(C50:I50)/CONFIG!$C$14)</f>
      </c>
      <c r="K50" s="22">
        <f>IF(J50="","",IF(J50&gt;=CONFIG!$C$15,"Ready Now",IF(J50&gt;=CONFIG!$C$16,"Ready Soon",IF(J50&gt;=CONFIG!$C$17,"Ready Later","Not Ready"))))</f>
      </c>
    </row>
    <row r="51" spans="1:11" x14ac:dyDescent="0.25">
      <c r="A51" s="20"/>
      <c r="B51" s="20"/>
      <c r="C51" s="15"/>
      <c r="D51" s="15"/>
      <c r="E51" s="15"/>
      <c r="F51" s="15"/>
      <c r="G51" s="15"/>
      <c r="H51" s="15"/>
      <c r="I51" s="15"/>
      <c r="J51" s="24">
        <f>IF(COUNT(C51:I51)=0,"",SUM(C51:I51)/CONFIG!$C$14)</f>
      </c>
      <c r="K51" s="22">
        <f>IF(J51="","",IF(J51&gt;=CONFIG!$C$15,"Ready Now",IF(J51&gt;=CONFIG!$C$16,"Ready Soon",IF(J51&gt;=CONFIG!$C$17,"Ready Later","Not Ready"))))</f>
      </c>
    </row>
    <row r="52" spans="1:11" x14ac:dyDescent="0.25">
      <c r="A52" s="20"/>
      <c r="B52" s="20"/>
      <c r="C52" s="15"/>
      <c r="D52" s="15"/>
      <c r="E52" s="15"/>
      <c r="F52" s="15"/>
      <c r="G52" s="15"/>
      <c r="H52" s="15"/>
      <c r="I52" s="15"/>
      <c r="J52" s="24">
        <f>IF(COUNT(C52:I52)=0,"",SUM(C52:I52)/CONFIG!$C$14)</f>
      </c>
      <c r="K52" s="22">
        <f>IF(J52="","",IF(J52&gt;=CONFIG!$C$15,"Ready Now",IF(J52&gt;=CONFIG!$C$16,"Ready Soon",IF(J52&gt;=CONFIG!$C$17,"Ready Later","Not Ready"))))</f>
      </c>
    </row>
    <row r="53" spans="1:11" x14ac:dyDescent="0.25">
      <c r="A53" s="20"/>
      <c r="B53" s="20"/>
      <c r="C53" s="15"/>
      <c r="D53" s="15"/>
      <c r="E53" s="15"/>
      <c r="F53" s="15"/>
      <c r="G53" s="15"/>
      <c r="H53" s="15"/>
      <c r="I53" s="15"/>
      <c r="J53" s="24">
        <f>IF(COUNT(C53:I53)=0,"",SUM(C53:I53)/CONFIG!$C$14)</f>
      </c>
      <c r="K53" s="22">
        <f>IF(J53="","",IF(J53&gt;=CONFIG!$C$15,"Ready Now",IF(J53&gt;=CONFIG!$C$16,"Ready Soon",IF(J53&gt;=CONFIG!$C$17,"Ready Later","Not Ready"))))</f>
      </c>
    </row>
    <row r="54" spans="1:11" x14ac:dyDescent="0.25">
      <c r="A54" s="20"/>
      <c r="B54" s="20"/>
      <c r="C54" s="15"/>
      <c r="D54" s="15"/>
      <c r="E54" s="15"/>
      <c r="F54" s="15"/>
      <c r="G54" s="15"/>
      <c r="H54" s="15"/>
      <c r="I54" s="15"/>
      <c r="J54" s="24">
        <f>IF(COUNT(C54:I54)=0,"",SUM(C54:I54)/CONFIG!$C$14)</f>
      </c>
      <c r="K54" s="22">
        <f>IF(J54="","",IF(J54&gt;=CONFIG!$C$15,"Ready Now",IF(J54&gt;=CONFIG!$C$16,"Ready Soon",IF(J54&gt;=CONFIG!$C$17,"Ready Later","Not Ready"))))</f>
      </c>
    </row>
    <row r="55" spans="1:11" x14ac:dyDescent="0.25">
      <c r="A55" s="20"/>
      <c r="B55" s="20"/>
      <c r="C55" s="15"/>
      <c r="D55" s="15"/>
      <c r="E55" s="15"/>
      <c r="F55" s="15"/>
      <c r="G55" s="15"/>
      <c r="H55" s="15"/>
      <c r="I55" s="15"/>
      <c r="J55" s="24">
        <f>IF(COUNT(C55:I55)=0,"",SUM(C55:I55)/CONFIG!$C$14)</f>
      </c>
      <c r="K55" s="22">
        <f>IF(J55="","",IF(J55&gt;=CONFIG!$C$15,"Ready Now",IF(J55&gt;=CONFIG!$C$16,"Ready Soon",IF(J55&gt;=CONFIG!$C$17,"Ready Later","Not Ready"))))</f>
      </c>
    </row>
    <row r="56" spans="1:11" x14ac:dyDescent="0.25">
      <c r="A56" s="20"/>
      <c r="B56" s="20"/>
      <c r="C56" s="15"/>
      <c r="D56" s="15"/>
      <c r="E56" s="15"/>
      <c r="F56" s="15"/>
      <c r="G56" s="15"/>
      <c r="H56" s="15"/>
      <c r="I56" s="15"/>
      <c r="J56" s="24">
        <f>IF(COUNT(C56:I56)=0,"",SUM(C56:I56)/CONFIG!$C$14)</f>
      </c>
      <c r="K56" s="22">
        <f>IF(J56="","",IF(J56&gt;=CONFIG!$C$15,"Ready Now",IF(J56&gt;=CONFIG!$C$16,"Ready Soon",IF(J56&gt;=CONFIG!$C$17,"Ready Later","Not Ready"))))</f>
      </c>
    </row>
    <row r="57" spans="1:11" x14ac:dyDescent="0.25">
      <c r="A57" s="20"/>
      <c r="B57" s="20"/>
      <c r="C57" s="15"/>
      <c r="D57" s="15"/>
      <c r="E57" s="15"/>
      <c r="F57" s="15"/>
      <c r="G57" s="15"/>
      <c r="H57" s="15"/>
      <c r="I57" s="15"/>
      <c r="J57" s="24">
        <f>IF(COUNT(C57:I57)=0,"",SUM(C57:I57)/CONFIG!$C$14)</f>
      </c>
      <c r="K57" s="22">
        <f>IF(J57="","",IF(J57&gt;=CONFIG!$C$15,"Ready Now",IF(J57&gt;=CONFIG!$C$16,"Ready Soon",IF(J57&gt;=CONFIG!$C$17,"Ready Later","Not Ready"))))</f>
      </c>
    </row>
    <row r="58" spans="1:11" x14ac:dyDescent="0.25">
      <c r="A58" s="20"/>
      <c r="B58" s="20"/>
      <c r="C58" s="15"/>
      <c r="D58" s="15"/>
      <c r="E58" s="15"/>
      <c r="F58" s="15"/>
      <c r="G58" s="15"/>
      <c r="H58" s="15"/>
      <c r="I58" s="15"/>
      <c r="J58" s="24">
        <f>IF(COUNT(C58:I58)=0,"",SUM(C58:I58)/CONFIG!$C$14)</f>
      </c>
      <c r="K58" s="22">
        <f>IF(J58="","",IF(J58&gt;=CONFIG!$C$15,"Ready Now",IF(J58&gt;=CONFIG!$C$16,"Ready Soon",IF(J58&gt;=CONFIG!$C$17,"Ready Later","Not Ready"))))</f>
      </c>
    </row>
    <row r="59" spans="1:11" x14ac:dyDescent="0.25">
      <c r="A59" s="20"/>
      <c r="B59" s="20"/>
      <c r="C59" s="15"/>
      <c r="D59" s="15"/>
      <c r="E59" s="15"/>
      <c r="F59" s="15"/>
      <c r="G59" s="15"/>
      <c r="H59" s="15"/>
      <c r="I59" s="15"/>
      <c r="J59" s="24">
        <f>IF(COUNT(C59:I59)=0,"",SUM(C59:I59)/CONFIG!$C$14)</f>
      </c>
      <c r="K59" s="22">
        <f>IF(J59="","",IF(J59&gt;=CONFIG!$C$15,"Ready Now",IF(J59&gt;=CONFIG!$C$16,"Ready Soon",IF(J59&gt;=CONFIG!$C$17,"Ready Later","Not Ready"))))</f>
      </c>
    </row>
    <row r="60" spans="1:11" x14ac:dyDescent="0.25">
      <c r="A60" s="20"/>
      <c r="B60" s="20"/>
      <c r="C60" s="15"/>
      <c r="D60" s="15"/>
      <c r="E60" s="15"/>
      <c r="F60" s="15"/>
      <c r="G60" s="15"/>
      <c r="H60" s="15"/>
      <c r="I60" s="15"/>
      <c r="J60" s="24">
        <f>IF(COUNT(C60:I60)=0,"",SUM(C60:I60)/CONFIG!$C$14)</f>
      </c>
      <c r="K60" s="22">
        <f>IF(J60="","",IF(J60&gt;=CONFIG!$C$15,"Ready Now",IF(J60&gt;=CONFIG!$C$16,"Ready Soon",IF(J60&gt;=CONFIG!$C$17,"Ready Later","Not Ready"))))</f>
      </c>
    </row>
    <row r="61" spans="1:11" x14ac:dyDescent="0.25">
      <c r="A61" s="20"/>
      <c r="B61" s="20"/>
      <c r="C61" s="15"/>
      <c r="D61" s="15"/>
      <c r="E61" s="15"/>
      <c r="F61" s="15"/>
      <c r="G61" s="15"/>
      <c r="H61" s="15"/>
      <c r="I61" s="15"/>
      <c r="J61" s="24">
        <f>IF(COUNT(C61:I61)=0,"",SUM(C61:I61)/CONFIG!$C$14)</f>
      </c>
      <c r="K61" s="22">
        <f>IF(J61="","",IF(J61&gt;=CONFIG!$C$15,"Ready Now",IF(J61&gt;=CONFIG!$C$16,"Ready Soon",IF(J61&gt;=CONFIG!$C$17,"Ready Later","Not Ready"))))</f>
      </c>
    </row>
    <row r="63" spans="1:11" x14ac:dyDescent="0.25">
      <c r="A63" s="12" t="s">
        <v>187</v>
      </c>
      <c r="B63" s="12"/>
      <c r="C63" s="12"/>
      <c r="D63" s="12"/>
      <c r="E63" s="12"/>
      <c r="F63" s="12"/>
      <c r="G63" s="12"/>
      <c r="H63" s="12"/>
      <c r="I63" s="12"/>
      <c r="J63" s="12"/>
      <c r="K63" s="12"/>
    </row>
    <row r="64" ht="22" customHeight="1" spans="1:9" x14ac:dyDescent="0.25">
      <c r="A64" s="5" t="s">
        <v>143</v>
      </c>
      <c r="B64" s="6" t="s">
        <v>188</v>
      </c>
      <c r="C64" s="6"/>
      <c r="D64" s="6" t="s">
        <v>189</v>
      </c>
      <c r="E64" s="6"/>
      <c r="F64" s="6" t="s">
        <v>190</v>
      </c>
      <c r="G64" s="6"/>
      <c r="H64" s="6" t="s">
        <v>191</v>
      </c>
      <c r="I64" s="6"/>
    </row>
    <row r="65" ht="22" customHeight="1" spans="1:9" x14ac:dyDescent="0.25">
      <c r="A65" s="5" t="s">
        <v>145</v>
      </c>
      <c r="B65" s="6" t="s">
        <v>188</v>
      </c>
      <c r="C65" s="6"/>
      <c r="D65" s="6" t="s">
        <v>192</v>
      </c>
      <c r="E65" s="6"/>
      <c r="F65" s="6" t="s">
        <v>193</v>
      </c>
      <c r="G65" s="6"/>
      <c r="H65" s="6" t="s">
        <v>194</v>
      </c>
      <c r="I65" s="6"/>
    </row>
    <row r="66" ht="22" customHeight="1" spans="1:9" x14ac:dyDescent="0.25">
      <c r="A66" s="5" t="s">
        <v>147</v>
      </c>
      <c r="B66" s="6" t="s">
        <v>195</v>
      </c>
      <c r="C66" s="6"/>
      <c r="D66" s="6" t="s">
        <v>196</v>
      </c>
      <c r="E66" s="6"/>
      <c r="F66" s="6" t="s">
        <v>197</v>
      </c>
      <c r="G66" s="6"/>
      <c r="H66" s="6" t="s">
        <v>198</v>
      </c>
      <c r="I66" s="6"/>
    </row>
    <row r="67" ht="22" customHeight="1" spans="1:9" x14ac:dyDescent="0.25">
      <c r="A67" s="5" t="s">
        <v>149</v>
      </c>
      <c r="B67" s="6" t="s">
        <v>199</v>
      </c>
      <c r="C67" s="6"/>
      <c r="D67" s="6" t="s">
        <v>200</v>
      </c>
      <c r="E67" s="6"/>
      <c r="F67" s="6" t="s">
        <v>201</v>
      </c>
      <c r="G67" s="6"/>
      <c r="H67" s="6" t="s">
        <v>202</v>
      </c>
      <c r="I67" s="6"/>
    </row>
    <row r="68" ht="22" customHeight="1" spans="1:9" x14ac:dyDescent="0.25">
      <c r="A68" s="5" t="s">
        <v>151</v>
      </c>
      <c r="B68" s="6" t="s">
        <v>203</v>
      </c>
      <c r="C68" s="6"/>
      <c r="D68" s="6" t="s">
        <v>204</v>
      </c>
      <c r="E68" s="6"/>
      <c r="F68" s="6" t="s">
        <v>205</v>
      </c>
      <c r="G68" s="6"/>
      <c r="H68" s="6" t="s">
        <v>206</v>
      </c>
      <c r="I68" s="6"/>
    </row>
    <row r="69" ht="22" customHeight="1" spans="1:9" x14ac:dyDescent="0.25">
      <c r="A69" s="5" t="s">
        <v>153</v>
      </c>
      <c r="B69" s="6" t="s">
        <v>207</v>
      </c>
      <c r="C69" s="6"/>
      <c r="D69" s="6" t="s">
        <v>208</v>
      </c>
      <c r="E69" s="6"/>
      <c r="F69" s="6" t="s">
        <v>209</v>
      </c>
      <c r="G69" s="6"/>
      <c r="H69" s="6" t="s">
        <v>210</v>
      </c>
      <c r="I69" s="6"/>
    </row>
    <row r="70" ht="22" customHeight="1" spans="1:9" x14ac:dyDescent="0.25">
      <c r="A70" s="5" t="s">
        <v>155</v>
      </c>
      <c r="B70" s="6" t="s">
        <v>211</v>
      </c>
      <c r="C70" s="6"/>
      <c r="D70" s="6" t="s">
        <v>212</v>
      </c>
      <c r="E70" s="6"/>
      <c r="F70" s="6" t="s">
        <v>213</v>
      </c>
      <c r="G70" s="6"/>
      <c r="H70" s="6" t="s">
        <v>214</v>
      </c>
      <c r="I70" s="6"/>
    </row>
    <row r="72" spans="1:11" x14ac:dyDescent="0.25">
      <c r="A72" s="9" t="s">
        <v>215</v>
      </c>
      <c r="B72" s="9"/>
      <c r="C72" s="9"/>
      <c r="D72" s="9"/>
      <c r="E72" s="9"/>
      <c r="F72" s="9"/>
      <c r="G72" s="9"/>
      <c r="H72" s="9"/>
      <c r="I72" s="9"/>
      <c r="J72" s="9"/>
      <c r="K72" s="9"/>
    </row>
    <row r="73" spans="1:11" x14ac:dyDescent="0.25">
      <c r="A73" s="9"/>
      <c r="B73" s="9"/>
      <c r="C73" s="9"/>
      <c r="D73" s="9"/>
      <c r="E73" s="9"/>
      <c r="F73" s="9"/>
      <c r="G73" s="9"/>
      <c r="H73" s="9"/>
      <c r="I73" s="9"/>
      <c r="J73" s="9"/>
      <c r="K73" s="9"/>
    </row>
  </sheetData>
  <autoFilter ref="A1:K61"/>
  <mergeCells count="30">
    <mergeCell ref="A63:K63"/>
    <mergeCell ref="B64:C64"/>
    <mergeCell ref="D64:E64"/>
    <mergeCell ref="F64:G64"/>
    <mergeCell ref="H64:I64"/>
    <mergeCell ref="B65:C65"/>
    <mergeCell ref="D65:E65"/>
    <mergeCell ref="F65:G65"/>
    <mergeCell ref="H65:I65"/>
    <mergeCell ref="B66:C66"/>
    <mergeCell ref="D66:E66"/>
    <mergeCell ref="F66:G66"/>
    <mergeCell ref="H66:I66"/>
    <mergeCell ref="B67:C67"/>
    <mergeCell ref="D67:E67"/>
    <mergeCell ref="F67:G67"/>
    <mergeCell ref="H67:I67"/>
    <mergeCell ref="B68:C68"/>
    <mergeCell ref="D68:E68"/>
    <mergeCell ref="F68:G68"/>
    <mergeCell ref="H68:I68"/>
    <mergeCell ref="B69:C69"/>
    <mergeCell ref="D69:E69"/>
    <mergeCell ref="F69:G69"/>
    <mergeCell ref="H69:I69"/>
    <mergeCell ref="B70:C70"/>
    <mergeCell ref="D70:E70"/>
    <mergeCell ref="F70:G70"/>
    <mergeCell ref="H70:I70"/>
    <mergeCell ref="A72:K73"/>
  </mergeCells>
  <dataValidations count="4">
    <dataValidation type="list" allowBlank="1" showErrorMessage="1" errorTitle="Not a valid entry" error="Pick one of the listed values." sqref="A10:A61">
      <formula1>'LIST OF POSITIONS'!$B$2:$B$39</formula1>
    </dataValidation>
    <dataValidation type="list" allowBlank="1" showErrorMessage="1" errorTitle="Not a valid entry" error="Pick one of the listed values." sqref="A2:A61">
      <formula1>'LIST OF POSITIONS'!$B$2:$B$39</formula1>
    </dataValidation>
    <dataValidation type="list" allowBlank="1" showErrorMessage="1" errorTitle="Not a valid entry" error="Pick one of the listed values." sqref="C10:I61">
      <formula1>"1,2,3,4"</formula1>
    </dataValidation>
    <dataValidation type="list" allowBlank="1" showErrorMessage="1" errorTitle="Not a valid entry" error="Pick one of the listed values." sqref="C2:I61">
      <formula1>"1,2,3,4"</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59669"/>
  </sheetPr>
  <dimension ref="A1:H45"/>
  <sheetViews>
    <sheetView workbookViewId="0">
      <pane xSplit="1" ySplit="1" topLeftCell="B2" activePane="bottomRight" state="frozen"/>
      <selection pane="bottomRight"/>
    </sheetView>
  </sheetViews>
  <sheetFormatPr defaultRowHeight="15" outlineLevelRow="0" outlineLevelCol="0" x14ac:dyDescent="55"/>
  <cols>
    <col min="1" max="1" width="46" customWidth="1"/>
    <col min="2" max="4" width="13" customWidth="1"/>
    <col min="5" max="5" width="12" customWidth="1"/>
    <col min="6" max="7" width="11" customWidth="1"/>
    <col min="8" max="8" width="22" customWidth="1"/>
  </cols>
  <sheetData>
    <row r="1" ht="34" customHeight="1" spans="1:8" x14ac:dyDescent="0.25">
      <c r="A1" s="19" t="s">
        <v>57</v>
      </c>
      <c r="B1" s="19" t="s">
        <v>161</v>
      </c>
      <c r="C1" s="19" t="s">
        <v>163</v>
      </c>
      <c r="D1" s="19" t="s">
        <v>165</v>
      </c>
      <c r="E1" s="19" t="s">
        <v>167</v>
      </c>
      <c r="F1" s="19" t="s">
        <v>169</v>
      </c>
      <c r="G1" s="19" t="s">
        <v>171</v>
      </c>
      <c r="H1" s="19" t="s">
        <v>216</v>
      </c>
    </row>
    <row r="2" spans="1:8" x14ac:dyDescent="0.25">
      <c r="A2" s="14">
        <f>IF('LIST OF POSITIONS'!B2="","",'LIST OF POSITIONS'!B2)</f>
      </c>
      <c r="B2" s="16">
        <f>IF($A2="","",COUNTIFS('SUCCESSOR ASSESSMENT MATRIX'!$A$2:$A$61,$A2,'SUCCESSOR ASSESSMENT MATRIX'!$K$2:$K$61,"Ready Now"))</f>
      </c>
      <c r="C2" s="16">
        <f>IF($A2="","",COUNTIFS('SUCCESSOR ASSESSMENT MATRIX'!$A$2:$A$61,$A2,'SUCCESSOR ASSESSMENT MATRIX'!$K$2:$K$61,"Ready Soon"))</f>
      </c>
      <c r="D2" s="16">
        <f>IF($A2="","",COUNTIFS('SUCCESSOR ASSESSMENT MATRIX'!$A$2:$A$61,$A2,'SUCCESSOR ASSESSMENT MATRIX'!$K$2:$K$61,"Ready Later"))</f>
      </c>
      <c r="E2" s="16">
        <f>IF($A2="","",COUNTIFS('SUCCESSOR ASSESSMENT MATRIX'!$A$2:$A$61,$A2,'SUCCESSOR ASSESSMENT MATRIX'!$K$2:$K$61,"Not Ready"))</f>
      </c>
      <c r="F2" s="22">
        <f>IF($A2="","",SUM(B2:D2))</f>
      </c>
      <c r="G2" s="22">
        <f>IF($A2="","",B2)</f>
      </c>
      <c r="H2" s="14">
        <f>IF($A2="","",IF(AND(OR('SUCCESSION PLANNING'!N2="Highly Critical",'SUCCESSION PLANNING'!N2="Critical"),F2=0),"Critical role, no bench",IF(F2=0,"No successors identified",IF(G2=0,"No one ready now","Covered"))))</f>
      </c>
    </row>
    <row r="3" spans="1:8" x14ac:dyDescent="0.25">
      <c r="A3" s="14">
        <f>IF('LIST OF POSITIONS'!B3="","",'LIST OF POSITIONS'!B3)</f>
      </c>
      <c r="B3" s="16">
        <f>IF($A3="","",COUNTIFS('SUCCESSOR ASSESSMENT MATRIX'!$A$2:$A$61,$A3,'SUCCESSOR ASSESSMENT MATRIX'!$K$2:$K$61,"Ready Now"))</f>
      </c>
      <c r="C3" s="16">
        <f>IF($A3="","",COUNTIFS('SUCCESSOR ASSESSMENT MATRIX'!$A$2:$A$61,$A3,'SUCCESSOR ASSESSMENT MATRIX'!$K$2:$K$61,"Ready Soon"))</f>
      </c>
      <c r="D3" s="16">
        <f>IF($A3="","",COUNTIFS('SUCCESSOR ASSESSMENT MATRIX'!$A$2:$A$61,$A3,'SUCCESSOR ASSESSMENT MATRIX'!$K$2:$K$61,"Ready Later"))</f>
      </c>
      <c r="E3" s="16">
        <f>IF($A3="","",COUNTIFS('SUCCESSOR ASSESSMENT MATRIX'!$A$2:$A$61,$A3,'SUCCESSOR ASSESSMENT MATRIX'!$K$2:$K$61,"Not Ready"))</f>
      </c>
      <c r="F3" s="22">
        <f>IF($A3="","",SUM(B3:D3))</f>
      </c>
      <c r="G3" s="22">
        <f>IF($A3="","",B3)</f>
      </c>
      <c r="H3" s="14">
        <f>IF($A3="","",IF(AND(OR('SUCCESSION PLANNING'!N3="Highly Critical",'SUCCESSION PLANNING'!N3="Critical"),F3=0),"Critical role, no bench",IF(F3=0,"No successors identified",IF(G3=0,"No one ready now","Covered"))))</f>
      </c>
    </row>
    <row r="4" spans="1:8" x14ac:dyDescent="0.25">
      <c r="A4" s="14">
        <f>IF('LIST OF POSITIONS'!B4="","",'LIST OF POSITIONS'!B4)</f>
      </c>
      <c r="B4" s="16">
        <f>IF($A4="","",COUNTIFS('SUCCESSOR ASSESSMENT MATRIX'!$A$2:$A$61,$A4,'SUCCESSOR ASSESSMENT MATRIX'!$K$2:$K$61,"Ready Now"))</f>
      </c>
      <c r="C4" s="16">
        <f>IF($A4="","",COUNTIFS('SUCCESSOR ASSESSMENT MATRIX'!$A$2:$A$61,$A4,'SUCCESSOR ASSESSMENT MATRIX'!$K$2:$K$61,"Ready Soon"))</f>
      </c>
      <c r="D4" s="16">
        <f>IF($A4="","",COUNTIFS('SUCCESSOR ASSESSMENT MATRIX'!$A$2:$A$61,$A4,'SUCCESSOR ASSESSMENT MATRIX'!$K$2:$K$61,"Ready Later"))</f>
      </c>
      <c r="E4" s="16">
        <f>IF($A4="","",COUNTIFS('SUCCESSOR ASSESSMENT MATRIX'!$A$2:$A$61,$A4,'SUCCESSOR ASSESSMENT MATRIX'!$K$2:$K$61,"Not Ready"))</f>
      </c>
      <c r="F4" s="22">
        <f>IF($A4="","",SUM(B4:D4))</f>
      </c>
      <c r="G4" s="22">
        <f>IF($A4="","",B4)</f>
      </c>
      <c r="H4" s="14">
        <f>IF($A4="","",IF(AND(OR('SUCCESSION PLANNING'!N4="Highly Critical",'SUCCESSION PLANNING'!N4="Critical"),F4=0),"Critical role, no bench",IF(F4=0,"No successors identified",IF(G4=0,"No one ready now","Covered"))))</f>
      </c>
    </row>
    <row r="5" spans="1:8" x14ac:dyDescent="0.25">
      <c r="A5" s="14">
        <f>IF('LIST OF POSITIONS'!B5="","",'LIST OF POSITIONS'!B5)</f>
      </c>
      <c r="B5" s="16">
        <f>IF($A5="","",COUNTIFS('SUCCESSOR ASSESSMENT MATRIX'!$A$2:$A$61,$A5,'SUCCESSOR ASSESSMENT MATRIX'!$K$2:$K$61,"Ready Now"))</f>
      </c>
      <c r="C5" s="16">
        <f>IF($A5="","",COUNTIFS('SUCCESSOR ASSESSMENT MATRIX'!$A$2:$A$61,$A5,'SUCCESSOR ASSESSMENT MATRIX'!$K$2:$K$61,"Ready Soon"))</f>
      </c>
      <c r="D5" s="16">
        <f>IF($A5="","",COUNTIFS('SUCCESSOR ASSESSMENT MATRIX'!$A$2:$A$61,$A5,'SUCCESSOR ASSESSMENT MATRIX'!$K$2:$K$61,"Ready Later"))</f>
      </c>
      <c r="E5" s="16">
        <f>IF($A5="","",COUNTIFS('SUCCESSOR ASSESSMENT MATRIX'!$A$2:$A$61,$A5,'SUCCESSOR ASSESSMENT MATRIX'!$K$2:$K$61,"Not Ready"))</f>
      </c>
      <c r="F5" s="22">
        <f>IF($A5="","",SUM(B5:D5))</f>
      </c>
      <c r="G5" s="22">
        <f>IF($A5="","",B5)</f>
      </c>
      <c r="H5" s="14">
        <f>IF($A5="","",IF(AND(OR('SUCCESSION PLANNING'!N5="Highly Critical",'SUCCESSION PLANNING'!N5="Critical"),F5=0),"Critical role, no bench",IF(F5=0,"No successors identified",IF(G5=0,"No one ready now","Covered"))))</f>
      </c>
    </row>
    <row r="6" spans="1:8" x14ac:dyDescent="0.25">
      <c r="A6" s="14">
        <f>IF('LIST OF POSITIONS'!B6="","",'LIST OF POSITIONS'!B6)</f>
      </c>
      <c r="B6" s="16">
        <f>IF($A6="","",COUNTIFS('SUCCESSOR ASSESSMENT MATRIX'!$A$2:$A$61,$A6,'SUCCESSOR ASSESSMENT MATRIX'!$K$2:$K$61,"Ready Now"))</f>
      </c>
      <c r="C6" s="16">
        <f>IF($A6="","",COUNTIFS('SUCCESSOR ASSESSMENT MATRIX'!$A$2:$A$61,$A6,'SUCCESSOR ASSESSMENT MATRIX'!$K$2:$K$61,"Ready Soon"))</f>
      </c>
      <c r="D6" s="16">
        <f>IF($A6="","",COUNTIFS('SUCCESSOR ASSESSMENT MATRIX'!$A$2:$A$61,$A6,'SUCCESSOR ASSESSMENT MATRIX'!$K$2:$K$61,"Ready Later"))</f>
      </c>
      <c r="E6" s="16">
        <f>IF($A6="","",COUNTIFS('SUCCESSOR ASSESSMENT MATRIX'!$A$2:$A$61,$A6,'SUCCESSOR ASSESSMENT MATRIX'!$K$2:$K$61,"Not Ready"))</f>
      </c>
      <c r="F6" s="22">
        <f>IF($A6="","",SUM(B6:D6))</f>
      </c>
      <c r="G6" s="22">
        <f>IF($A6="","",B6)</f>
      </c>
      <c r="H6" s="14">
        <f>IF($A6="","",IF(AND(OR('SUCCESSION PLANNING'!N6="Highly Critical",'SUCCESSION PLANNING'!N6="Critical"),F6=0),"Critical role, no bench",IF(F6=0,"No successors identified",IF(G6=0,"No one ready now","Covered"))))</f>
      </c>
    </row>
    <row r="7" spans="1:8" x14ac:dyDescent="0.25">
      <c r="A7" s="14">
        <f>IF('LIST OF POSITIONS'!B7="","",'LIST OF POSITIONS'!B7)</f>
      </c>
      <c r="B7" s="16">
        <f>IF($A7="","",COUNTIFS('SUCCESSOR ASSESSMENT MATRIX'!$A$2:$A$61,$A7,'SUCCESSOR ASSESSMENT MATRIX'!$K$2:$K$61,"Ready Now"))</f>
      </c>
      <c r="C7" s="16">
        <f>IF($A7="","",COUNTIFS('SUCCESSOR ASSESSMENT MATRIX'!$A$2:$A$61,$A7,'SUCCESSOR ASSESSMENT MATRIX'!$K$2:$K$61,"Ready Soon"))</f>
      </c>
      <c r="D7" s="16">
        <f>IF($A7="","",COUNTIFS('SUCCESSOR ASSESSMENT MATRIX'!$A$2:$A$61,$A7,'SUCCESSOR ASSESSMENT MATRIX'!$K$2:$K$61,"Ready Later"))</f>
      </c>
      <c r="E7" s="16">
        <f>IF($A7="","",COUNTIFS('SUCCESSOR ASSESSMENT MATRIX'!$A$2:$A$61,$A7,'SUCCESSOR ASSESSMENT MATRIX'!$K$2:$K$61,"Not Ready"))</f>
      </c>
      <c r="F7" s="22">
        <f>IF($A7="","",SUM(B7:D7))</f>
      </c>
      <c r="G7" s="22">
        <f>IF($A7="","",B7)</f>
      </c>
      <c r="H7" s="14">
        <f>IF($A7="","",IF(AND(OR('SUCCESSION PLANNING'!N7="Highly Critical",'SUCCESSION PLANNING'!N7="Critical"),F7=0),"Critical role, no bench",IF(F7=0,"No successors identified",IF(G7=0,"No one ready now","Covered"))))</f>
      </c>
    </row>
    <row r="8" spans="1:8" x14ac:dyDescent="0.25">
      <c r="A8" s="14">
        <f>IF('LIST OF POSITIONS'!B8="","",'LIST OF POSITIONS'!B8)</f>
      </c>
      <c r="B8" s="16">
        <f>IF($A8="","",COUNTIFS('SUCCESSOR ASSESSMENT MATRIX'!$A$2:$A$61,$A8,'SUCCESSOR ASSESSMENT MATRIX'!$K$2:$K$61,"Ready Now"))</f>
      </c>
      <c r="C8" s="16">
        <f>IF($A8="","",COUNTIFS('SUCCESSOR ASSESSMENT MATRIX'!$A$2:$A$61,$A8,'SUCCESSOR ASSESSMENT MATRIX'!$K$2:$K$61,"Ready Soon"))</f>
      </c>
      <c r="D8" s="16">
        <f>IF($A8="","",COUNTIFS('SUCCESSOR ASSESSMENT MATRIX'!$A$2:$A$61,$A8,'SUCCESSOR ASSESSMENT MATRIX'!$K$2:$K$61,"Ready Later"))</f>
      </c>
      <c r="E8" s="16">
        <f>IF($A8="","",COUNTIFS('SUCCESSOR ASSESSMENT MATRIX'!$A$2:$A$61,$A8,'SUCCESSOR ASSESSMENT MATRIX'!$K$2:$K$61,"Not Ready"))</f>
      </c>
      <c r="F8" s="22">
        <f>IF($A8="","",SUM(B8:D8))</f>
      </c>
      <c r="G8" s="22">
        <f>IF($A8="","",B8)</f>
      </c>
      <c r="H8" s="14">
        <f>IF($A8="","",IF(AND(OR('SUCCESSION PLANNING'!N8="Highly Critical",'SUCCESSION PLANNING'!N8="Critical"),F8=0),"Critical role, no bench",IF(F8=0,"No successors identified",IF(G8=0,"No one ready now","Covered"))))</f>
      </c>
    </row>
    <row r="9" spans="1:8" x14ac:dyDescent="0.25">
      <c r="A9" s="14">
        <f>IF('LIST OF POSITIONS'!B9="","",'LIST OF POSITIONS'!B9)</f>
      </c>
      <c r="B9" s="16">
        <f>IF($A9="","",COUNTIFS('SUCCESSOR ASSESSMENT MATRIX'!$A$2:$A$61,$A9,'SUCCESSOR ASSESSMENT MATRIX'!$K$2:$K$61,"Ready Now"))</f>
      </c>
      <c r="C9" s="16">
        <f>IF($A9="","",COUNTIFS('SUCCESSOR ASSESSMENT MATRIX'!$A$2:$A$61,$A9,'SUCCESSOR ASSESSMENT MATRIX'!$K$2:$K$61,"Ready Soon"))</f>
      </c>
      <c r="D9" s="16">
        <f>IF($A9="","",COUNTIFS('SUCCESSOR ASSESSMENT MATRIX'!$A$2:$A$61,$A9,'SUCCESSOR ASSESSMENT MATRIX'!$K$2:$K$61,"Ready Later"))</f>
      </c>
      <c r="E9" s="16">
        <f>IF($A9="","",COUNTIFS('SUCCESSOR ASSESSMENT MATRIX'!$A$2:$A$61,$A9,'SUCCESSOR ASSESSMENT MATRIX'!$K$2:$K$61,"Not Ready"))</f>
      </c>
      <c r="F9" s="22">
        <f>IF($A9="","",SUM(B9:D9))</f>
      </c>
      <c r="G9" s="22">
        <f>IF($A9="","",B9)</f>
      </c>
      <c r="H9" s="14">
        <f>IF($A9="","",IF(AND(OR('SUCCESSION PLANNING'!N9="Highly Critical",'SUCCESSION PLANNING'!N9="Critical"),F9=0),"Critical role, no bench",IF(F9=0,"No successors identified",IF(G9=0,"No one ready now","Covered"))))</f>
      </c>
    </row>
    <row r="10" spans="1:8" x14ac:dyDescent="0.25">
      <c r="A10" s="14">
        <f>IF('LIST OF POSITIONS'!B10="","",'LIST OF POSITIONS'!B10)</f>
      </c>
      <c r="B10" s="16">
        <f>IF($A10="","",COUNTIFS('SUCCESSOR ASSESSMENT MATRIX'!$A$2:$A$61,$A10,'SUCCESSOR ASSESSMENT MATRIX'!$K$2:$K$61,"Ready Now"))</f>
      </c>
      <c r="C10" s="16">
        <f>IF($A10="","",COUNTIFS('SUCCESSOR ASSESSMENT MATRIX'!$A$2:$A$61,$A10,'SUCCESSOR ASSESSMENT MATRIX'!$K$2:$K$61,"Ready Soon"))</f>
      </c>
      <c r="D10" s="16">
        <f>IF($A10="","",COUNTIFS('SUCCESSOR ASSESSMENT MATRIX'!$A$2:$A$61,$A10,'SUCCESSOR ASSESSMENT MATRIX'!$K$2:$K$61,"Ready Later"))</f>
      </c>
      <c r="E10" s="16">
        <f>IF($A10="","",COUNTIFS('SUCCESSOR ASSESSMENT MATRIX'!$A$2:$A$61,$A10,'SUCCESSOR ASSESSMENT MATRIX'!$K$2:$K$61,"Not Ready"))</f>
      </c>
      <c r="F10" s="22">
        <f>IF($A10="","",SUM(B10:D10))</f>
      </c>
      <c r="G10" s="22">
        <f>IF($A10="","",B10)</f>
      </c>
      <c r="H10" s="14">
        <f>IF($A10="","",IF(AND(OR('SUCCESSION PLANNING'!N10="Highly Critical",'SUCCESSION PLANNING'!N10="Critical"),F10=0),"Critical role, no bench",IF(F10=0,"No successors identified",IF(G10=0,"No one ready now","Covered"))))</f>
      </c>
    </row>
    <row r="11" spans="1:8" x14ac:dyDescent="0.25">
      <c r="A11" s="14">
        <f>IF('LIST OF POSITIONS'!B11="","",'LIST OF POSITIONS'!B11)</f>
      </c>
      <c r="B11" s="16">
        <f>IF($A11="","",COUNTIFS('SUCCESSOR ASSESSMENT MATRIX'!$A$2:$A$61,$A11,'SUCCESSOR ASSESSMENT MATRIX'!$K$2:$K$61,"Ready Now"))</f>
      </c>
      <c r="C11" s="16">
        <f>IF($A11="","",COUNTIFS('SUCCESSOR ASSESSMENT MATRIX'!$A$2:$A$61,$A11,'SUCCESSOR ASSESSMENT MATRIX'!$K$2:$K$61,"Ready Soon"))</f>
      </c>
      <c r="D11" s="16">
        <f>IF($A11="","",COUNTIFS('SUCCESSOR ASSESSMENT MATRIX'!$A$2:$A$61,$A11,'SUCCESSOR ASSESSMENT MATRIX'!$K$2:$K$61,"Ready Later"))</f>
      </c>
      <c r="E11" s="16">
        <f>IF($A11="","",COUNTIFS('SUCCESSOR ASSESSMENT MATRIX'!$A$2:$A$61,$A11,'SUCCESSOR ASSESSMENT MATRIX'!$K$2:$K$61,"Not Ready"))</f>
      </c>
      <c r="F11" s="22">
        <f>IF($A11="","",SUM(B11:D11))</f>
      </c>
      <c r="G11" s="22">
        <f>IF($A11="","",B11)</f>
      </c>
      <c r="H11" s="14">
        <f>IF($A11="","",IF(AND(OR('SUCCESSION PLANNING'!N11="Highly Critical",'SUCCESSION PLANNING'!N11="Critical"),F11=0),"Critical role, no bench",IF(F11=0,"No successors identified",IF(G11=0,"No one ready now","Covered"))))</f>
      </c>
    </row>
    <row r="12" spans="1:8" x14ac:dyDescent="0.25">
      <c r="A12" s="14">
        <f>IF('LIST OF POSITIONS'!B12="","",'LIST OF POSITIONS'!B12)</f>
      </c>
      <c r="B12" s="16">
        <f>IF($A12="","",COUNTIFS('SUCCESSOR ASSESSMENT MATRIX'!$A$2:$A$61,$A12,'SUCCESSOR ASSESSMENT MATRIX'!$K$2:$K$61,"Ready Now"))</f>
      </c>
      <c r="C12" s="16">
        <f>IF($A12="","",COUNTIFS('SUCCESSOR ASSESSMENT MATRIX'!$A$2:$A$61,$A12,'SUCCESSOR ASSESSMENT MATRIX'!$K$2:$K$61,"Ready Soon"))</f>
      </c>
      <c r="D12" s="16">
        <f>IF($A12="","",COUNTIFS('SUCCESSOR ASSESSMENT MATRIX'!$A$2:$A$61,$A12,'SUCCESSOR ASSESSMENT MATRIX'!$K$2:$K$61,"Ready Later"))</f>
      </c>
      <c r="E12" s="16">
        <f>IF($A12="","",COUNTIFS('SUCCESSOR ASSESSMENT MATRIX'!$A$2:$A$61,$A12,'SUCCESSOR ASSESSMENT MATRIX'!$K$2:$K$61,"Not Ready"))</f>
      </c>
      <c r="F12" s="22">
        <f>IF($A12="","",SUM(B12:D12))</f>
      </c>
      <c r="G12" s="22">
        <f>IF($A12="","",B12)</f>
      </c>
      <c r="H12" s="14">
        <f>IF($A12="","",IF(AND(OR('SUCCESSION PLANNING'!N12="Highly Critical",'SUCCESSION PLANNING'!N12="Critical"),F12=0),"Critical role, no bench",IF(F12=0,"No successors identified",IF(G12=0,"No one ready now","Covered"))))</f>
      </c>
    </row>
    <row r="13" spans="1:8" x14ac:dyDescent="0.25">
      <c r="A13" s="14">
        <f>IF('LIST OF POSITIONS'!B13="","",'LIST OF POSITIONS'!B13)</f>
      </c>
      <c r="B13" s="16">
        <f>IF($A13="","",COUNTIFS('SUCCESSOR ASSESSMENT MATRIX'!$A$2:$A$61,$A13,'SUCCESSOR ASSESSMENT MATRIX'!$K$2:$K$61,"Ready Now"))</f>
      </c>
      <c r="C13" s="16">
        <f>IF($A13="","",COUNTIFS('SUCCESSOR ASSESSMENT MATRIX'!$A$2:$A$61,$A13,'SUCCESSOR ASSESSMENT MATRIX'!$K$2:$K$61,"Ready Soon"))</f>
      </c>
      <c r="D13" s="16">
        <f>IF($A13="","",COUNTIFS('SUCCESSOR ASSESSMENT MATRIX'!$A$2:$A$61,$A13,'SUCCESSOR ASSESSMENT MATRIX'!$K$2:$K$61,"Ready Later"))</f>
      </c>
      <c r="E13" s="16">
        <f>IF($A13="","",COUNTIFS('SUCCESSOR ASSESSMENT MATRIX'!$A$2:$A$61,$A13,'SUCCESSOR ASSESSMENT MATRIX'!$K$2:$K$61,"Not Ready"))</f>
      </c>
      <c r="F13" s="22">
        <f>IF($A13="","",SUM(B13:D13))</f>
      </c>
      <c r="G13" s="22">
        <f>IF($A13="","",B13)</f>
      </c>
      <c r="H13" s="14">
        <f>IF($A13="","",IF(AND(OR('SUCCESSION PLANNING'!N13="Highly Critical",'SUCCESSION PLANNING'!N13="Critical"),F13=0),"Critical role, no bench",IF(F13=0,"No successors identified",IF(G13=0,"No one ready now","Covered"))))</f>
      </c>
    </row>
    <row r="14" spans="1:8" x14ac:dyDescent="0.25">
      <c r="A14" s="14">
        <f>IF('LIST OF POSITIONS'!B14="","",'LIST OF POSITIONS'!B14)</f>
      </c>
      <c r="B14" s="16">
        <f>IF($A14="","",COUNTIFS('SUCCESSOR ASSESSMENT MATRIX'!$A$2:$A$61,$A14,'SUCCESSOR ASSESSMENT MATRIX'!$K$2:$K$61,"Ready Now"))</f>
      </c>
      <c r="C14" s="16">
        <f>IF($A14="","",COUNTIFS('SUCCESSOR ASSESSMENT MATRIX'!$A$2:$A$61,$A14,'SUCCESSOR ASSESSMENT MATRIX'!$K$2:$K$61,"Ready Soon"))</f>
      </c>
      <c r="D14" s="16">
        <f>IF($A14="","",COUNTIFS('SUCCESSOR ASSESSMENT MATRIX'!$A$2:$A$61,$A14,'SUCCESSOR ASSESSMENT MATRIX'!$K$2:$K$61,"Ready Later"))</f>
      </c>
      <c r="E14" s="16">
        <f>IF($A14="","",COUNTIFS('SUCCESSOR ASSESSMENT MATRIX'!$A$2:$A$61,$A14,'SUCCESSOR ASSESSMENT MATRIX'!$K$2:$K$61,"Not Ready"))</f>
      </c>
      <c r="F14" s="22">
        <f>IF($A14="","",SUM(B14:D14))</f>
      </c>
      <c r="G14" s="22">
        <f>IF($A14="","",B14)</f>
      </c>
      <c r="H14" s="14">
        <f>IF($A14="","",IF(AND(OR('SUCCESSION PLANNING'!N14="Highly Critical",'SUCCESSION PLANNING'!N14="Critical"),F14=0),"Critical role, no bench",IF(F14=0,"No successors identified",IF(G14=0,"No one ready now","Covered"))))</f>
      </c>
    </row>
    <row r="15" spans="1:8" x14ac:dyDescent="0.25">
      <c r="A15" s="14">
        <f>IF('LIST OF POSITIONS'!B15="","",'LIST OF POSITIONS'!B15)</f>
      </c>
      <c r="B15" s="16">
        <f>IF($A15="","",COUNTIFS('SUCCESSOR ASSESSMENT MATRIX'!$A$2:$A$61,$A15,'SUCCESSOR ASSESSMENT MATRIX'!$K$2:$K$61,"Ready Now"))</f>
      </c>
      <c r="C15" s="16">
        <f>IF($A15="","",COUNTIFS('SUCCESSOR ASSESSMENT MATRIX'!$A$2:$A$61,$A15,'SUCCESSOR ASSESSMENT MATRIX'!$K$2:$K$61,"Ready Soon"))</f>
      </c>
      <c r="D15" s="16">
        <f>IF($A15="","",COUNTIFS('SUCCESSOR ASSESSMENT MATRIX'!$A$2:$A$61,$A15,'SUCCESSOR ASSESSMENT MATRIX'!$K$2:$K$61,"Ready Later"))</f>
      </c>
      <c r="E15" s="16">
        <f>IF($A15="","",COUNTIFS('SUCCESSOR ASSESSMENT MATRIX'!$A$2:$A$61,$A15,'SUCCESSOR ASSESSMENT MATRIX'!$K$2:$K$61,"Not Ready"))</f>
      </c>
      <c r="F15" s="22">
        <f>IF($A15="","",SUM(B15:D15))</f>
      </c>
      <c r="G15" s="22">
        <f>IF($A15="","",B15)</f>
      </c>
      <c r="H15" s="14">
        <f>IF($A15="","",IF(AND(OR('SUCCESSION PLANNING'!N15="Highly Critical",'SUCCESSION PLANNING'!N15="Critical"),F15=0),"Critical role, no bench",IF(F15=0,"No successors identified",IF(G15=0,"No one ready now","Covered"))))</f>
      </c>
    </row>
    <row r="16" spans="1:8" x14ac:dyDescent="0.25">
      <c r="A16" s="14">
        <f>IF('LIST OF POSITIONS'!B16="","",'LIST OF POSITIONS'!B16)</f>
      </c>
      <c r="B16" s="16">
        <f>IF($A16="","",COUNTIFS('SUCCESSOR ASSESSMENT MATRIX'!$A$2:$A$61,$A16,'SUCCESSOR ASSESSMENT MATRIX'!$K$2:$K$61,"Ready Now"))</f>
      </c>
      <c r="C16" s="16">
        <f>IF($A16="","",COUNTIFS('SUCCESSOR ASSESSMENT MATRIX'!$A$2:$A$61,$A16,'SUCCESSOR ASSESSMENT MATRIX'!$K$2:$K$61,"Ready Soon"))</f>
      </c>
      <c r="D16" s="16">
        <f>IF($A16="","",COUNTIFS('SUCCESSOR ASSESSMENT MATRIX'!$A$2:$A$61,$A16,'SUCCESSOR ASSESSMENT MATRIX'!$K$2:$K$61,"Ready Later"))</f>
      </c>
      <c r="E16" s="16">
        <f>IF($A16="","",COUNTIFS('SUCCESSOR ASSESSMENT MATRIX'!$A$2:$A$61,$A16,'SUCCESSOR ASSESSMENT MATRIX'!$K$2:$K$61,"Not Ready"))</f>
      </c>
      <c r="F16" s="22">
        <f>IF($A16="","",SUM(B16:D16))</f>
      </c>
      <c r="G16" s="22">
        <f>IF($A16="","",B16)</f>
      </c>
      <c r="H16" s="14">
        <f>IF($A16="","",IF(AND(OR('SUCCESSION PLANNING'!N16="Highly Critical",'SUCCESSION PLANNING'!N16="Critical"),F16=0),"Critical role, no bench",IF(F16=0,"No successors identified",IF(G16=0,"No one ready now","Covered"))))</f>
      </c>
    </row>
    <row r="17" spans="1:8" x14ac:dyDescent="0.25">
      <c r="A17" s="14">
        <f>IF('LIST OF POSITIONS'!B17="","",'LIST OF POSITIONS'!B17)</f>
      </c>
      <c r="B17" s="16">
        <f>IF($A17="","",COUNTIFS('SUCCESSOR ASSESSMENT MATRIX'!$A$2:$A$61,$A17,'SUCCESSOR ASSESSMENT MATRIX'!$K$2:$K$61,"Ready Now"))</f>
      </c>
      <c r="C17" s="16">
        <f>IF($A17="","",COUNTIFS('SUCCESSOR ASSESSMENT MATRIX'!$A$2:$A$61,$A17,'SUCCESSOR ASSESSMENT MATRIX'!$K$2:$K$61,"Ready Soon"))</f>
      </c>
      <c r="D17" s="16">
        <f>IF($A17="","",COUNTIFS('SUCCESSOR ASSESSMENT MATRIX'!$A$2:$A$61,$A17,'SUCCESSOR ASSESSMENT MATRIX'!$K$2:$K$61,"Ready Later"))</f>
      </c>
      <c r="E17" s="16">
        <f>IF($A17="","",COUNTIFS('SUCCESSOR ASSESSMENT MATRIX'!$A$2:$A$61,$A17,'SUCCESSOR ASSESSMENT MATRIX'!$K$2:$K$61,"Not Ready"))</f>
      </c>
      <c r="F17" s="22">
        <f>IF($A17="","",SUM(B17:D17))</f>
      </c>
      <c r="G17" s="22">
        <f>IF($A17="","",B17)</f>
      </c>
      <c r="H17" s="14">
        <f>IF($A17="","",IF(AND(OR('SUCCESSION PLANNING'!N17="Highly Critical",'SUCCESSION PLANNING'!N17="Critical"),F17=0),"Critical role, no bench",IF(F17=0,"No successors identified",IF(G17=0,"No one ready now","Covered"))))</f>
      </c>
    </row>
    <row r="18" spans="1:8" x14ac:dyDescent="0.25">
      <c r="A18" s="14">
        <f>IF('LIST OF POSITIONS'!B18="","",'LIST OF POSITIONS'!B18)</f>
      </c>
      <c r="B18" s="16">
        <f>IF($A18="","",COUNTIFS('SUCCESSOR ASSESSMENT MATRIX'!$A$2:$A$61,$A18,'SUCCESSOR ASSESSMENT MATRIX'!$K$2:$K$61,"Ready Now"))</f>
      </c>
      <c r="C18" s="16">
        <f>IF($A18="","",COUNTIFS('SUCCESSOR ASSESSMENT MATRIX'!$A$2:$A$61,$A18,'SUCCESSOR ASSESSMENT MATRIX'!$K$2:$K$61,"Ready Soon"))</f>
      </c>
      <c r="D18" s="16">
        <f>IF($A18="","",COUNTIFS('SUCCESSOR ASSESSMENT MATRIX'!$A$2:$A$61,$A18,'SUCCESSOR ASSESSMENT MATRIX'!$K$2:$K$61,"Ready Later"))</f>
      </c>
      <c r="E18" s="16">
        <f>IF($A18="","",COUNTIFS('SUCCESSOR ASSESSMENT MATRIX'!$A$2:$A$61,$A18,'SUCCESSOR ASSESSMENT MATRIX'!$K$2:$K$61,"Not Ready"))</f>
      </c>
      <c r="F18" s="22">
        <f>IF($A18="","",SUM(B18:D18))</f>
      </c>
      <c r="G18" s="22">
        <f>IF($A18="","",B18)</f>
      </c>
      <c r="H18" s="14">
        <f>IF($A18="","",IF(AND(OR('SUCCESSION PLANNING'!N18="Highly Critical",'SUCCESSION PLANNING'!N18="Critical"),F18=0),"Critical role, no bench",IF(F18=0,"No successors identified",IF(G18=0,"No one ready now","Covered"))))</f>
      </c>
    </row>
    <row r="19" spans="1:8" x14ac:dyDescent="0.25">
      <c r="A19" s="14">
        <f>IF('LIST OF POSITIONS'!B19="","",'LIST OF POSITIONS'!B19)</f>
      </c>
      <c r="B19" s="16">
        <f>IF($A19="","",COUNTIFS('SUCCESSOR ASSESSMENT MATRIX'!$A$2:$A$61,$A19,'SUCCESSOR ASSESSMENT MATRIX'!$K$2:$K$61,"Ready Now"))</f>
      </c>
      <c r="C19" s="16">
        <f>IF($A19="","",COUNTIFS('SUCCESSOR ASSESSMENT MATRIX'!$A$2:$A$61,$A19,'SUCCESSOR ASSESSMENT MATRIX'!$K$2:$K$61,"Ready Soon"))</f>
      </c>
      <c r="D19" s="16">
        <f>IF($A19="","",COUNTIFS('SUCCESSOR ASSESSMENT MATRIX'!$A$2:$A$61,$A19,'SUCCESSOR ASSESSMENT MATRIX'!$K$2:$K$61,"Ready Later"))</f>
      </c>
      <c r="E19" s="16">
        <f>IF($A19="","",COUNTIFS('SUCCESSOR ASSESSMENT MATRIX'!$A$2:$A$61,$A19,'SUCCESSOR ASSESSMENT MATRIX'!$K$2:$K$61,"Not Ready"))</f>
      </c>
      <c r="F19" s="22">
        <f>IF($A19="","",SUM(B19:D19))</f>
      </c>
      <c r="G19" s="22">
        <f>IF($A19="","",B19)</f>
      </c>
      <c r="H19" s="14">
        <f>IF($A19="","",IF(AND(OR('SUCCESSION PLANNING'!N19="Highly Critical",'SUCCESSION PLANNING'!N19="Critical"),F19=0),"Critical role, no bench",IF(F19=0,"No successors identified",IF(G19=0,"No one ready now","Covered"))))</f>
      </c>
    </row>
    <row r="20" spans="1:8" x14ac:dyDescent="0.25">
      <c r="A20" s="14">
        <f>IF('LIST OF POSITIONS'!B20="","",'LIST OF POSITIONS'!B20)</f>
      </c>
      <c r="B20" s="16">
        <f>IF($A20="","",COUNTIFS('SUCCESSOR ASSESSMENT MATRIX'!$A$2:$A$61,$A20,'SUCCESSOR ASSESSMENT MATRIX'!$K$2:$K$61,"Ready Now"))</f>
      </c>
      <c r="C20" s="16">
        <f>IF($A20="","",COUNTIFS('SUCCESSOR ASSESSMENT MATRIX'!$A$2:$A$61,$A20,'SUCCESSOR ASSESSMENT MATRIX'!$K$2:$K$61,"Ready Soon"))</f>
      </c>
      <c r="D20" s="16">
        <f>IF($A20="","",COUNTIFS('SUCCESSOR ASSESSMENT MATRIX'!$A$2:$A$61,$A20,'SUCCESSOR ASSESSMENT MATRIX'!$K$2:$K$61,"Ready Later"))</f>
      </c>
      <c r="E20" s="16">
        <f>IF($A20="","",COUNTIFS('SUCCESSOR ASSESSMENT MATRIX'!$A$2:$A$61,$A20,'SUCCESSOR ASSESSMENT MATRIX'!$K$2:$K$61,"Not Ready"))</f>
      </c>
      <c r="F20" s="22">
        <f>IF($A20="","",SUM(B20:D20))</f>
      </c>
      <c r="G20" s="22">
        <f>IF($A20="","",B20)</f>
      </c>
      <c r="H20" s="14">
        <f>IF($A20="","",IF(AND(OR('SUCCESSION PLANNING'!N20="Highly Critical",'SUCCESSION PLANNING'!N20="Critical"),F20=0),"Critical role, no bench",IF(F20=0,"No successors identified",IF(G20=0,"No one ready now","Covered"))))</f>
      </c>
    </row>
    <row r="21" spans="1:8" x14ac:dyDescent="0.25">
      <c r="A21" s="14">
        <f>IF('LIST OF POSITIONS'!B21="","",'LIST OF POSITIONS'!B21)</f>
      </c>
      <c r="B21" s="16">
        <f>IF($A21="","",COUNTIFS('SUCCESSOR ASSESSMENT MATRIX'!$A$2:$A$61,$A21,'SUCCESSOR ASSESSMENT MATRIX'!$K$2:$K$61,"Ready Now"))</f>
      </c>
      <c r="C21" s="16">
        <f>IF($A21="","",COUNTIFS('SUCCESSOR ASSESSMENT MATRIX'!$A$2:$A$61,$A21,'SUCCESSOR ASSESSMENT MATRIX'!$K$2:$K$61,"Ready Soon"))</f>
      </c>
      <c r="D21" s="16">
        <f>IF($A21="","",COUNTIFS('SUCCESSOR ASSESSMENT MATRIX'!$A$2:$A$61,$A21,'SUCCESSOR ASSESSMENT MATRIX'!$K$2:$K$61,"Ready Later"))</f>
      </c>
      <c r="E21" s="16">
        <f>IF($A21="","",COUNTIFS('SUCCESSOR ASSESSMENT MATRIX'!$A$2:$A$61,$A21,'SUCCESSOR ASSESSMENT MATRIX'!$K$2:$K$61,"Not Ready"))</f>
      </c>
      <c r="F21" s="22">
        <f>IF($A21="","",SUM(B21:D21))</f>
      </c>
      <c r="G21" s="22">
        <f>IF($A21="","",B21)</f>
      </c>
      <c r="H21" s="14">
        <f>IF($A21="","",IF(AND(OR('SUCCESSION PLANNING'!N21="Highly Critical",'SUCCESSION PLANNING'!N21="Critical"),F21=0),"Critical role, no bench",IF(F21=0,"No successors identified",IF(G21=0,"No one ready now","Covered"))))</f>
      </c>
    </row>
    <row r="22" spans="1:8" x14ac:dyDescent="0.25">
      <c r="A22" s="14">
        <f>IF('LIST OF POSITIONS'!B22="","",'LIST OF POSITIONS'!B22)</f>
      </c>
      <c r="B22" s="16">
        <f>IF($A22="","",COUNTIFS('SUCCESSOR ASSESSMENT MATRIX'!$A$2:$A$61,$A22,'SUCCESSOR ASSESSMENT MATRIX'!$K$2:$K$61,"Ready Now"))</f>
      </c>
      <c r="C22" s="16">
        <f>IF($A22="","",COUNTIFS('SUCCESSOR ASSESSMENT MATRIX'!$A$2:$A$61,$A22,'SUCCESSOR ASSESSMENT MATRIX'!$K$2:$K$61,"Ready Soon"))</f>
      </c>
      <c r="D22" s="16">
        <f>IF($A22="","",COUNTIFS('SUCCESSOR ASSESSMENT MATRIX'!$A$2:$A$61,$A22,'SUCCESSOR ASSESSMENT MATRIX'!$K$2:$K$61,"Ready Later"))</f>
      </c>
      <c r="E22" s="16">
        <f>IF($A22="","",COUNTIFS('SUCCESSOR ASSESSMENT MATRIX'!$A$2:$A$61,$A22,'SUCCESSOR ASSESSMENT MATRIX'!$K$2:$K$61,"Not Ready"))</f>
      </c>
      <c r="F22" s="22">
        <f>IF($A22="","",SUM(B22:D22))</f>
      </c>
      <c r="G22" s="22">
        <f>IF($A22="","",B22)</f>
      </c>
      <c r="H22" s="14">
        <f>IF($A22="","",IF(AND(OR('SUCCESSION PLANNING'!N22="Highly Critical",'SUCCESSION PLANNING'!N22="Critical"),F22=0),"Critical role, no bench",IF(F22=0,"No successors identified",IF(G22=0,"No one ready now","Covered"))))</f>
      </c>
    </row>
    <row r="23" spans="1:8" x14ac:dyDescent="0.25">
      <c r="A23" s="14">
        <f>IF('LIST OF POSITIONS'!B23="","",'LIST OF POSITIONS'!B23)</f>
      </c>
      <c r="B23" s="16">
        <f>IF($A23="","",COUNTIFS('SUCCESSOR ASSESSMENT MATRIX'!$A$2:$A$61,$A23,'SUCCESSOR ASSESSMENT MATRIX'!$K$2:$K$61,"Ready Now"))</f>
      </c>
      <c r="C23" s="16">
        <f>IF($A23="","",COUNTIFS('SUCCESSOR ASSESSMENT MATRIX'!$A$2:$A$61,$A23,'SUCCESSOR ASSESSMENT MATRIX'!$K$2:$K$61,"Ready Soon"))</f>
      </c>
      <c r="D23" s="16">
        <f>IF($A23="","",COUNTIFS('SUCCESSOR ASSESSMENT MATRIX'!$A$2:$A$61,$A23,'SUCCESSOR ASSESSMENT MATRIX'!$K$2:$K$61,"Ready Later"))</f>
      </c>
      <c r="E23" s="16">
        <f>IF($A23="","",COUNTIFS('SUCCESSOR ASSESSMENT MATRIX'!$A$2:$A$61,$A23,'SUCCESSOR ASSESSMENT MATRIX'!$K$2:$K$61,"Not Ready"))</f>
      </c>
      <c r="F23" s="22">
        <f>IF($A23="","",SUM(B23:D23))</f>
      </c>
      <c r="G23" s="22">
        <f>IF($A23="","",B23)</f>
      </c>
      <c r="H23" s="14">
        <f>IF($A23="","",IF(AND(OR('SUCCESSION PLANNING'!N23="Highly Critical",'SUCCESSION PLANNING'!N23="Critical"),F23=0),"Critical role, no bench",IF(F23=0,"No successors identified",IF(G23=0,"No one ready now","Covered"))))</f>
      </c>
    </row>
    <row r="24" spans="1:8" x14ac:dyDescent="0.25">
      <c r="A24" s="14">
        <f>IF('LIST OF POSITIONS'!B24="","",'LIST OF POSITIONS'!B24)</f>
      </c>
      <c r="B24" s="16">
        <f>IF($A24="","",COUNTIFS('SUCCESSOR ASSESSMENT MATRIX'!$A$2:$A$61,$A24,'SUCCESSOR ASSESSMENT MATRIX'!$K$2:$K$61,"Ready Now"))</f>
      </c>
      <c r="C24" s="16">
        <f>IF($A24="","",COUNTIFS('SUCCESSOR ASSESSMENT MATRIX'!$A$2:$A$61,$A24,'SUCCESSOR ASSESSMENT MATRIX'!$K$2:$K$61,"Ready Soon"))</f>
      </c>
      <c r="D24" s="16">
        <f>IF($A24="","",COUNTIFS('SUCCESSOR ASSESSMENT MATRIX'!$A$2:$A$61,$A24,'SUCCESSOR ASSESSMENT MATRIX'!$K$2:$K$61,"Ready Later"))</f>
      </c>
      <c r="E24" s="16">
        <f>IF($A24="","",COUNTIFS('SUCCESSOR ASSESSMENT MATRIX'!$A$2:$A$61,$A24,'SUCCESSOR ASSESSMENT MATRIX'!$K$2:$K$61,"Not Ready"))</f>
      </c>
      <c r="F24" s="22">
        <f>IF($A24="","",SUM(B24:D24))</f>
      </c>
      <c r="G24" s="22">
        <f>IF($A24="","",B24)</f>
      </c>
      <c r="H24" s="14">
        <f>IF($A24="","",IF(AND(OR('SUCCESSION PLANNING'!N24="Highly Critical",'SUCCESSION PLANNING'!N24="Critical"),F24=0),"Critical role, no bench",IF(F24=0,"No successors identified",IF(G24=0,"No one ready now","Covered"))))</f>
      </c>
    </row>
    <row r="25" spans="1:8" x14ac:dyDescent="0.25">
      <c r="A25" s="14">
        <f>IF('LIST OF POSITIONS'!B25="","",'LIST OF POSITIONS'!B25)</f>
      </c>
      <c r="B25" s="16">
        <f>IF($A25="","",COUNTIFS('SUCCESSOR ASSESSMENT MATRIX'!$A$2:$A$61,$A25,'SUCCESSOR ASSESSMENT MATRIX'!$K$2:$K$61,"Ready Now"))</f>
      </c>
      <c r="C25" s="16">
        <f>IF($A25="","",COUNTIFS('SUCCESSOR ASSESSMENT MATRIX'!$A$2:$A$61,$A25,'SUCCESSOR ASSESSMENT MATRIX'!$K$2:$K$61,"Ready Soon"))</f>
      </c>
      <c r="D25" s="16">
        <f>IF($A25="","",COUNTIFS('SUCCESSOR ASSESSMENT MATRIX'!$A$2:$A$61,$A25,'SUCCESSOR ASSESSMENT MATRIX'!$K$2:$K$61,"Ready Later"))</f>
      </c>
      <c r="E25" s="16">
        <f>IF($A25="","",COUNTIFS('SUCCESSOR ASSESSMENT MATRIX'!$A$2:$A$61,$A25,'SUCCESSOR ASSESSMENT MATRIX'!$K$2:$K$61,"Not Ready"))</f>
      </c>
      <c r="F25" s="22">
        <f>IF($A25="","",SUM(B25:D25))</f>
      </c>
      <c r="G25" s="22">
        <f>IF($A25="","",B25)</f>
      </c>
      <c r="H25" s="14">
        <f>IF($A25="","",IF(AND(OR('SUCCESSION PLANNING'!N25="Highly Critical",'SUCCESSION PLANNING'!N25="Critical"),F25=0),"Critical role, no bench",IF(F25=0,"No successors identified",IF(G25=0,"No one ready now","Covered"))))</f>
      </c>
    </row>
    <row r="26" spans="1:8" x14ac:dyDescent="0.25">
      <c r="A26" s="14">
        <f>IF('LIST OF POSITIONS'!B26="","",'LIST OF POSITIONS'!B26)</f>
      </c>
      <c r="B26" s="16">
        <f>IF($A26="","",COUNTIFS('SUCCESSOR ASSESSMENT MATRIX'!$A$2:$A$61,$A26,'SUCCESSOR ASSESSMENT MATRIX'!$K$2:$K$61,"Ready Now"))</f>
      </c>
      <c r="C26" s="16">
        <f>IF($A26="","",COUNTIFS('SUCCESSOR ASSESSMENT MATRIX'!$A$2:$A$61,$A26,'SUCCESSOR ASSESSMENT MATRIX'!$K$2:$K$61,"Ready Soon"))</f>
      </c>
      <c r="D26" s="16">
        <f>IF($A26="","",COUNTIFS('SUCCESSOR ASSESSMENT MATRIX'!$A$2:$A$61,$A26,'SUCCESSOR ASSESSMENT MATRIX'!$K$2:$K$61,"Ready Later"))</f>
      </c>
      <c r="E26" s="16">
        <f>IF($A26="","",COUNTIFS('SUCCESSOR ASSESSMENT MATRIX'!$A$2:$A$61,$A26,'SUCCESSOR ASSESSMENT MATRIX'!$K$2:$K$61,"Not Ready"))</f>
      </c>
      <c r="F26" s="22">
        <f>IF($A26="","",SUM(B26:D26))</f>
      </c>
      <c r="G26" s="22">
        <f>IF($A26="","",B26)</f>
      </c>
      <c r="H26" s="14">
        <f>IF($A26="","",IF(AND(OR('SUCCESSION PLANNING'!N26="Highly Critical",'SUCCESSION PLANNING'!N26="Critical"),F26=0),"Critical role, no bench",IF(F26=0,"No successors identified",IF(G26=0,"No one ready now","Covered"))))</f>
      </c>
    </row>
    <row r="27" spans="1:8" x14ac:dyDescent="0.25">
      <c r="A27" s="14">
        <f>IF('LIST OF POSITIONS'!B27="","",'LIST OF POSITIONS'!B27)</f>
      </c>
      <c r="B27" s="16">
        <f>IF($A27="","",COUNTIFS('SUCCESSOR ASSESSMENT MATRIX'!$A$2:$A$61,$A27,'SUCCESSOR ASSESSMENT MATRIX'!$K$2:$K$61,"Ready Now"))</f>
      </c>
      <c r="C27" s="16">
        <f>IF($A27="","",COUNTIFS('SUCCESSOR ASSESSMENT MATRIX'!$A$2:$A$61,$A27,'SUCCESSOR ASSESSMENT MATRIX'!$K$2:$K$61,"Ready Soon"))</f>
      </c>
      <c r="D27" s="16">
        <f>IF($A27="","",COUNTIFS('SUCCESSOR ASSESSMENT MATRIX'!$A$2:$A$61,$A27,'SUCCESSOR ASSESSMENT MATRIX'!$K$2:$K$61,"Ready Later"))</f>
      </c>
      <c r="E27" s="16">
        <f>IF($A27="","",COUNTIFS('SUCCESSOR ASSESSMENT MATRIX'!$A$2:$A$61,$A27,'SUCCESSOR ASSESSMENT MATRIX'!$K$2:$K$61,"Not Ready"))</f>
      </c>
      <c r="F27" s="22">
        <f>IF($A27="","",SUM(B27:D27))</f>
      </c>
      <c r="G27" s="22">
        <f>IF($A27="","",B27)</f>
      </c>
      <c r="H27" s="14">
        <f>IF($A27="","",IF(AND(OR('SUCCESSION PLANNING'!N27="Highly Critical",'SUCCESSION PLANNING'!N27="Critical"),F27=0),"Critical role, no bench",IF(F27=0,"No successors identified",IF(G27=0,"No one ready now","Covered"))))</f>
      </c>
    </row>
    <row r="28" spans="1:8" x14ac:dyDescent="0.25">
      <c r="A28" s="14">
        <f>IF('LIST OF POSITIONS'!B28="","",'LIST OF POSITIONS'!B28)</f>
      </c>
      <c r="B28" s="16">
        <f>IF($A28="","",COUNTIFS('SUCCESSOR ASSESSMENT MATRIX'!$A$2:$A$61,$A28,'SUCCESSOR ASSESSMENT MATRIX'!$K$2:$K$61,"Ready Now"))</f>
      </c>
      <c r="C28" s="16">
        <f>IF($A28="","",COUNTIFS('SUCCESSOR ASSESSMENT MATRIX'!$A$2:$A$61,$A28,'SUCCESSOR ASSESSMENT MATRIX'!$K$2:$K$61,"Ready Soon"))</f>
      </c>
      <c r="D28" s="16">
        <f>IF($A28="","",COUNTIFS('SUCCESSOR ASSESSMENT MATRIX'!$A$2:$A$61,$A28,'SUCCESSOR ASSESSMENT MATRIX'!$K$2:$K$61,"Ready Later"))</f>
      </c>
      <c r="E28" s="16">
        <f>IF($A28="","",COUNTIFS('SUCCESSOR ASSESSMENT MATRIX'!$A$2:$A$61,$A28,'SUCCESSOR ASSESSMENT MATRIX'!$K$2:$K$61,"Not Ready"))</f>
      </c>
      <c r="F28" s="22">
        <f>IF($A28="","",SUM(B28:D28))</f>
      </c>
      <c r="G28" s="22">
        <f>IF($A28="","",B28)</f>
      </c>
      <c r="H28" s="14">
        <f>IF($A28="","",IF(AND(OR('SUCCESSION PLANNING'!N28="Highly Critical",'SUCCESSION PLANNING'!N28="Critical"),F28=0),"Critical role, no bench",IF(F28=0,"No successors identified",IF(G28=0,"No one ready now","Covered"))))</f>
      </c>
    </row>
    <row r="29" spans="1:8" x14ac:dyDescent="0.25">
      <c r="A29" s="14">
        <f>IF('LIST OF POSITIONS'!B29="","",'LIST OF POSITIONS'!B29)</f>
      </c>
      <c r="B29" s="16">
        <f>IF($A29="","",COUNTIFS('SUCCESSOR ASSESSMENT MATRIX'!$A$2:$A$61,$A29,'SUCCESSOR ASSESSMENT MATRIX'!$K$2:$K$61,"Ready Now"))</f>
      </c>
      <c r="C29" s="16">
        <f>IF($A29="","",COUNTIFS('SUCCESSOR ASSESSMENT MATRIX'!$A$2:$A$61,$A29,'SUCCESSOR ASSESSMENT MATRIX'!$K$2:$K$61,"Ready Soon"))</f>
      </c>
      <c r="D29" s="16">
        <f>IF($A29="","",COUNTIFS('SUCCESSOR ASSESSMENT MATRIX'!$A$2:$A$61,$A29,'SUCCESSOR ASSESSMENT MATRIX'!$K$2:$K$61,"Ready Later"))</f>
      </c>
      <c r="E29" s="16">
        <f>IF($A29="","",COUNTIFS('SUCCESSOR ASSESSMENT MATRIX'!$A$2:$A$61,$A29,'SUCCESSOR ASSESSMENT MATRIX'!$K$2:$K$61,"Not Ready"))</f>
      </c>
      <c r="F29" s="22">
        <f>IF($A29="","",SUM(B29:D29))</f>
      </c>
      <c r="G29" s="22">
        <f>IF($A29="","",B29)</f>
      </c>
      <c r="H29" s="14">
        <f>IF($A29="","",IF(AND(OR('SUCCESSION PLANNING'!N29="Highly Critical",'SUCCESSION PLANNING'!N29="Critical"),F29=0),"Critical role, no bench",IF(F29=0,"No successors identified",IF(G29=0,"No one ready now","Covered"))))</f>
      </c>
    </row>
    <row r="30" spans="1:8" x14ac:dyDescent="0.25">
      <c r="A30" s="14">
        <f>IF('LIST OF POSITIONS'!B30="","",'LIST OF POSITIONS'!B30)</f>
      </c>
      <c r="B30" s="16">
        <f>IF($A30="","",COUNTIFS('SUCCESSOR ASSESSMENT MATRIX'!$A$2:$A$61,$A30,'SUCCESSOR ASSESSMENT MATRIX'!$K$2:$K$61,"Ready Now"))</f>
      </c>
      <c r="C30" s="16">
        <f>IF($A30="","",COUNTIFS('SUCCESSOR ASSESSMENT MATRIX'!$A$2:$A$61,$A30,'SUCCESSOR ASSESSMENT MATRIX'!$K$2:$K$61,"Ready Soon"))</f>
      </c>
      <c r="D30" s="16">
        <f>IF($A30="","",COUNTIFS('SUCCESSOR ASSESSMENT MATRIX'!$A$2:$A$61,$A30,'SUCCESSOR ASSESSMENT MATRIX'!$K$2:$K$61,"Ready Later"))</f>
      </c>
      <c r="E30" s="16">
        <f>IF($A30="","",COUNTIFS('SUCCESSOR ASSESSMENT MATRIX'!$A$2:$A$61,$A30,'SUCCESSOR ASSESSMENT MATRIX'!$K$2:$K$61,"Not Ready"))</f>
      </c>
      <c r="F30" s="22">
        <f>IF($A30="","",SUM(B30:D30))</f>
      </c>
      <c r="G30" s="22">
        <f>IF($A30="","",B30)</f>
      </c>
      <c r="H30" s="14">
        <f>IF($A30="","",IF(AND(OR('SUCCESSION PLANNING'!N30="Highly Critical",'SUCCESSION PLANNING'!N30="Critical"),F30=0),"Critical role, no bench",IF(F30=0,"No successors identified",IF(G30=0,"No one ready now","Covered"))))</f>
      </c>
    </row>
    <row r="31" spans="1:8" x14ac:dyDescent="0.25">
      <c r="A31" s="14">
        <f>IF('LIST OF POSITIONS'!B31="","",'LIST OF POSITIONS'!B31)</f>
      </c>
      <c r="B31" s="16">
        <f>IF($A31="","",COUNTIFS('SUCCESSOR ASSESSMENT MATRIX'!$A$2:$A$61,$A31,'SUCCESSOR ASSESSMENT MATRIX'!$K$2:$K$61,"Ready Now"))</f>
      </c>
      <c r="C31" s="16">
        <f>IF($A31="","",COUNTIFS('SUCCESSOR ASSESSMENT MATRIX'!$A$2:$A$61,$A31,'SUCCESSOR ASSESSMENT MATRIX'!$K$2:$K$61,"Ready Soon"))</f>
      </c>
      <c r="D31" s="16">
        <f>IF($A31="","",COUNTIFS('SUCCESSOR ASSESSMENT MATRIX'!$A$2:$A$61,$A31,'SUCCESSOR ASSESSMENT MATRIX'!$K$2:$K$61,"Ready Later"))</f>
      </c>
      <c r="E31" s="16">
        <f>IF($A31="","",COUNTIFS('SUCCESSOR ASSESSMENT MATRIX'!$A$2:$A$61,$A31,'SUCCESSOR ASSESSMENT MATRIX'!$K$2:$K$61,"Not Ready"))</f>
      </c>
      <c r="F31" s="22">
        <f>IF($A31="","",SUM(B31:D31))</f>
      </c>
      <c r="G31" s="22">
        <f>IF($A31="","",B31)</f>
      </c>
      <c r="H31" s="14">
        <f>IF($A31="","",IF(AND(OR('SUCCESSION PLANNING'!N31="Highly Critical",'SUCCESSION PLANNING'!N31="Critical"),F31=0),"Critical role, no bench",IF(F31=0,"No successors identified",IF(G31=0,"No one ready now","Covered"))))</f>
      </c>
    </row>
    <row r="32" spans="1:8" x14ac:dyDescent="0.25">
      <c r="A32" s="14">
        <f>IF('LIST OF POSITIONS'!B32="","",'LIST OF POSITIONS'!B32)</f>
      </c>
      <c r="B32" s="16">
        <f>IF($A32="","",COUNTIFS('SUCCESSOR ASSESSMENT MATRIX'!$A$2:$A$61,$A32,'SUCCESSOR ASSESSMENT MATRIX'!$K$2:$K$61,"Ready Now"))</f>
      </c>
      <c r="C32" s="16">
        <f>IF($A32="","",COUNTIFS('SUCCESSOR ASSESSMENT MATRIX'!$A$2:$A$61,$A32,'SUCCESSOR ASSESSMENT MATRIX'!$K$2:$K$61,"Ready Soon"))</f>
      </c>
      <c r="D32" s="16">
        <f>IF($A32="","",COUNTIFS('SUCCESSOR ASSESSMENT MATRIX'!$A$2:$A$61,$A32,'SUCCESSOR ASSESSMENT MATRIX'!$K$2:$K$61,"Ready Later"))</f>
      </c>
      <c r="E32" s="16">
        <f>IF($A32="","",COUNTIFS('SUCCESSOR ASSESSMENT MATRIX'!$A$2:$A$61,$A32,'SUCCESSOR ASSESSMENT MATRIX'!$K$2:$K$61,"Not Ready"))</f>
      </c>
      <c r="F32" s="22">
        <f>IF($A32="","",SUM(B32:D32))</f>
      </c>
      <c r="G32" s="22">
        <f>IF($A32="","",B32)</f>
      </c>
      <c r="H32" s="14">
        <f>IF($A32="","",IF(AND(OR('SUCCESSION PLANNING'!N32="Highly Critical",'SUCCESSION PLANNING'!N32="Critical"),F32=0),"Critical role, no bench",IF(F32=0,"No successors identified",IF(G32=0,"No one ready now","Covered"))))</f>
      </c>
    </row>
    <row r="33" spans="1:8" x14ac:dyDescent="0.25">
      <c r="A33" s="14">
        <f>IF('LIST OF POSITIONS'!B33="","",'LIST OF POSITIONS'!B33)</f>
      </c>
      <c r="B33" s="16">
        <f>IF($A33="","",COUNTIFS('SUCCESSOR ASSESSMENT MATRIX'!$A$2:$A$61,$A33,'SUCCESSOR ASSESSMENT MATRIX'!$K$2:$K$61,"Ready Now"))</f>
      </c>
      <c r="C33" s="16">
        <f>IF($A33="","",COUNTIFS('SUCCESSOR ASSESSMENT MATRIX'!$A$2:$A$61,$A33,'SUCCESSOR ASSESSMENT MATRIX'!$K$2:$K$61,"Ready Soon"))</f>
      </c>
      <c r="D33" s="16">
        <f>IF($A33="","",COUNTIFS('SUCCESSOR ASSESSMENT MATRIX'!$A$2:$A$61,$A33,'SUCCESSOR ASSESSMENT MATRIX'!$K$2:$K$61,"Ready Later"))</f>
      </c>
      <c r="E33" s="16">
        <f>IF($A33="","",COUNTIFS('SUCCESSOR ASSESSMENT MATRIX'!$A$2:$A$61,$A33,'SUCCESSOR ASSESSMENT MATRIX'!$K$2:$K$61,"Not Ready"))</f>
      </c>
      <c r="F33" s="22">
        <f>IF($A33="","",SUM(B33:D33))</f>
      </c>
      <c r="G33" s="22">
        <f>IF($A33="","",B33)</f>
      </c>
      <c r="H33" s="14">
        <f>IF($A33="","",IF(AND(OR('SUCCESSION PLANNING'!N33="Highly Critical",'SUCCESSION PLANNING'!N33="Critical"),F33=0),"Critical role, no bench",IF(F33=0,"No successors identified",IF(G33=0,"No one ready now","Covered"))))</f>
      </c>
    </row>
    <row r="34" spans="1:8" x14ac:dyDescent="0.25">
      <c r="A34" s="14">
        <f>IF('LIST OF POSITIONS'!B34="","",'LIST OF POSITIONS'!B34)</f>
      </c>
      <c r="B34" s="16">
        <f>IF($A34="","",COUNTIFS('SUCCESSOR ASSESSMENT MATRIX'!$A$2:$A$61,$A34,'SUCCESSOR ASSESSMENT MATRIX'!$K$2:$K$61,"Ready Now"))</f>
      </c>
      <c r="C34" s="16">
        <f>IF($A34="","",COUNTIFS('SUCCESSOR ASSESSMENT MATRIX'!$A$2:$A$61,$A34,'SUCCESSOR ASSESSMENT MATRIX'!$K$2:$K$61,"Ready Soon"))</f>
      </c>
      <c r="D34" s="16">
        <f>IF($A34="","",COUNTIFS('SUCCESSOR ASSESSMENT MATRIX'!$A$2:$A$61,$A34,'SUCCESSOR ASSESSMENT MATRIX'!$K$2:$K$61,"Ready Later"))</f>
      </c>
      <c r="E34" s="16">
        <f>IF($A34="","",COUNTIFS('SUCCESSOR ASSESSMENT MATRIX'!$A$2:$A$61,$A34,'SUCCESSOR ASSESSMENT MATRIX'!$K$2:$K$61,"Not Ready"))</f>
      </c>
      <c r="F34" s="22">
        <f>IF($A34="","",SUM(B34:D34))</f>
      </c>
      <c r="G34" s="22">
        <f>IF($A34="","",B34)</f>
      </c>
      <c r="H34" s="14">
        <f>IF($A34="","",IF(AND(OR('SUCCESSION PLANNING'!N34="Highly Critical",'SUCCESSION PLANNING'!N34="Critical"),F34=0),"Critical role, no bench",IF(F34=0,"No successors identified",IF(G34=0,"No one ready now","Covered"))))</f>
      </c>
    </row>
    <row r="35" spans="1:8" x14ac:dyDescent="0.25">
      <c r="A35" s="14">
        <f>IF('LIST OF POSITIONS'!B35="","",'LIST OF POSITIONS'!B35)</f>
      </c>
      <c r="B35" s="16">
        <f>IF($A35="","",COUNTIFS('SUCCESSOR ASSESSMENT MATRIX'!$A$2:$A$61,$A35,'SUCCESSOR ASSESSMENT MATRIX'!$K$2:$K$61,"Ready Now"))</f>
      </c>
      <c r="C35" s="16">
        <f>IF($A35="","",COUNTIFS('SUCCESSOR ASSESSMENT MATRIX'!$A$2:$A$61,$A35,'SUCCESSOR ASSESSMENT MATRIX'!$K$2:$K$61,"Ready Soon"))</f>
      </c>
      <c r="D35" s="16">
        <f>IF($A35="","",COUNTIFS('SUCCESSOR ASSESSMENT MATRIX'!$A$2:$A$61,$A35,'SUCCESSOR ASSESSMENT MATRIX'!$K$2:$K$61,"Ready Later"))</f>
      </c>
      <c r="E35" s="16">
        <f>IF($A35="","",COUNTIFS('SUCCESSOR ASSESSMENT MATRIX'!$A$2:$A$61,$A35,'SUCCESSOR ASSESSMENT MATRIX'!$K$2:$K$61,"Not Ready"))</f>
      </c>
      <c r="F35" s="22">
        <f>IF($A35="","",SUM(B35:D35))</f>
      </c>
      <c r="G35" s="22">
        <f>IF($A35="","",B35)</f>
      </c>
      <c r="H35" s="14">
        <f>IF($A35="","",IF(AND(OR('SUCCESSION PLANNING'!N35="Highly Critical",'SUCCESSION PLANNING'!N35="Critical"),F35=0),"Critical role, no bench",IF(F35=0,"No successors identified",IF(G35=0,"No one ready now","Covered"))))</f>
      </c>
    </row>
    <row r="36" spans="1:8" x14ac:dyDescent="0.25">
      <c r="A36" s="14">
        <f>IF('LIST OF POSITIONS'!B36="","",'LIST OF POSITIONS'!B36)</f>
      </c>
      <c r="B36" s="16">
        <f>IF($A36="","",COUNTIFS('SUCCESSOR ASSESSMENT MATRIX'!$A$2:$A$61,$A36,'SUCCESSOR ASSESSMENT MATRIX'!$K$2:$K$61,"Ready Now"))</f>
      </c>
      <c r="C36" s="16">
        <f>IF($A36="","",COUNTIFS('SUCCESSOR ASSESSMENT MATRIX'!$A$2:$A$61,$A36,'SUCCESSOR ASSESSMENT MATRIX'!$K$2:$K$61,"Ready Soon"))</f>
      </c>
      <c r="D36" s="16">
        <f>IF($A36="","",COUNTIFS('SUCCESSOR ASSESSMENT MATRIX'!$A$2:$A$61,$A36,'SUCCESSOR ASSESSMENT MATRIX'!$K$2:$K$61,"Ready Later"))</f>
      </c>
      <c r="E36" s="16">
        <f>IF($A36="","",COUNTIFS('SUCCESSOR ASSESSMENT MATRIX'!$A$2:$A$61,$A36,'SUCCESSOR ASSESSMENT MATRIX'!$K$2:$K$61,"Not Ready"))</f>
      </c>
      <c r="F36" s="22">
        <f>IF($A36="","",SUM(B36:D36))</f>
      </c>
      <c r="G36" s="22">
        <f>IF($A36="","",B36)</f>
      </c>
      <c r="H36" s="14">
        <f>IF($A36="","",IF(AND(OR('SUCCESSION PLANNING'!N36="Highly Critical",'SUCCESSION PLANNING'!N36="Critical"),F36=0),"Critical role, no bench",IF(F36=0,"No successors identified",IF(G36=0,"No one ready now","Covered"))))</f>
      </c>
    </row>
    <row r="37" spans="1:8" x14ac:dyDescent="0.25">
      <c r="A37" s="14">
        <f>IF('LIST OF POSITIONS'!B37="","",'LIST OF POSITIONS'!B37)</f>
      </c>
      <c r="B37" s="16">
        <f>IF($A37="","",COUNTIFS('SUCCESSOR ASSESSMENT MATRIX'!$A$2:$A$61,$A37,'SUCCESSOR ASSESSMENT MATRIX'!$K$2:$K$61,"Ready Now"))</f>
      </c>
      <c r="C37" s="16">
        <f>IF($A37="","",COUNTIFS('SUCCESSOR ASSESSMENT MATRIX'!$A$2:$A$61,$A37,'SUCCESSOR ASSESSMENT MATRIX'!$K$2:$K$61,"Ready Soon"))</f>
      </c>
      <c r="D37" s="16">
        <f>IF($A37="","",COUNTIFS('SUCCESSOR ASSESSMENT MATRIX'!$A$2:$A$61,$A37,'SUCCESSOR ASSESSMENT MATRIX'!$K$2:$K$61,"Ready Later"))</f>
      </c>
      <c r="E37" s="16">
        <f>IF($A37="","",COUNTIFS('SUCCESSOR ASSESSMENT MATRIX'!$A$2:$A$61,$A37,'SUCCESSOR ASSESSMENT MATRIX'!$K$2:$K$61,"Not Ready"))</f>
      </c>
      <c r="F37" s="22">
        <f>IF($A37="","",SUM(B37:D37))</f>
      </c>
      <c r="G37" s="22">
        <f>IF($A37="","",B37)</f>
      </c>
      <c r="H37" s="14">
        <f>IF($A37="","",IF(AND(OR('SUCCESSION PLANNING'!N37="Highly Critical",'SUCCESSION PLANNING'!N37="Critical"),F37=0),"Critical role, no bench",IF(F37=0,"No successors identified",IF(G37=0,"No one ready now","Covered"))))</f>
      </c>
    </row>
    <row r="38" spans="1:8" x14ac:dyDescent="0.25">
      <c r="A38" s="14">
        <f>IF('LIST OF POSITIONS'!B38="","",'LIST OF POSITIONS'!B38)</f>
      </c>
      <c r="B38" s="16">
        <f>IF($A38="","",COUNTIFS('SUCCESSOR ASSESSMENT MATRIX'!$A$2:$A$61,$A38,'SUCCESSOR ASSESSMENT MATRIX'!$K$2:$K$61,"Ready Now"))</f>
      </c>
      <c r="C38" s="16">
        <f>IF($A38="","",COUNTIFS('SUCCESSOR ASSESSMENT MATRIX'!$A$2:$A$61,$A38,'SUCCESSOR ASSESSMENT MATRIX'!$K$2:$K$61,"Ready Soon"))</f>
      </c>
      <c r="D38" s="16">
        <f>IF($A38="","",COUNTIFS('SUCCESSOR ASSESSMENT MATRIX'!$A$2:$A$61,$A38,'SUCCESSOR ASSESSMENT MATRIX'!$K$2:$K$61,"Ready Later"))</f>
      </c>
      <c r="E38" s="16">
        <f>IF($A38="","",COUNTIFS('SUCCESSOR ASSESSMENT MATRIX'!$A$2:$A$61,$A38,'SUCCESSOR ASSESSMENT MATRIX'!$K$2:$K$61,"Not Ready"))</f>
      </c>
      <c r="F38" s="22">
        <f>IF($A38="","",SUM(B38:D38))</f>
      </c>
      <c r="G38" s="22">
        <f>IF($A38="","",B38)</f>
      </c>
      <c r="H38" s="14">
        <f>IF($A38="","",IF(AND(OR('SUCCESSION PLANNING'!N38="Highly Critical",'SUCCESSION PLANNING'!N38="Critical"),F38=0),"Critical role, no bench",IF(F38=0,"No successors identified",IF(G38=0,"No one ready now","Covered"))))</f>
      </c>
    </row>
    <row r="39" spans="1:8" x14ac:dyDescent="0.25">
      <c r="A39" s="14">
        <f>IF('LIST OF POSITIONS'!B39="","",'LIST OF POSITIONS'!B39)</f>
      </c>
      <c r="B39" s="16">
        <f>IF($A39="","",COUNTIFS('SUCCESSOR ASSESSMENT MATRIX'!$A$2:$A$61,$A39,'SUCCESSOR ASSESSMENT MATRIX'!$K$2:$K$61,"Ready Now"))</f>
      </c>
      <c r="C39" s="16">
        <f>IF($A39="","",COUNTIFS('SUCCESSOR ASSESSMENT MATRIX'!$A$2:$A$61,$A39,'SUCCESSOR ASSESSMENT MATRIX'!$K$2:$K$61,"Ready Soon"))</f>
      </c>
      <c r="D39" s="16">
        <f>IF($A39="","",COUNTIFS('SUCCESSOR ASSESSMENT MATRIX'!$A$2:$A$61,$A39,'SUCCESSOR ASSESSMENT MATRIX'!$K$2:$K$61,"Ready Later"))</f>
      </c>
      <c r="E39" s="16">
        <f>IF($A39="","",COUNTIFS('SUCCESSOR ASSESSMENT MATRIX'!$A$2:$A$61,$A39,'SUCCESSOR ASSESSMENT MATRIX'!$K$2:$K$61,"Not Ready"))</f>
      </c>
      <c r="F39" s="22">
        <f>IF($A39="","",SUM(B39:D39))</f>
      </c>
      <c r="G39" s="22">
        <f>IF($A39="","",B39)</f>
      </c>
      <c r="H39" s="14">
        <f>IF($A39="","",IF(AND(OR('SUCCESSION PLANNING'!N39="Highly Critical",'SUCCESSION PLANNING'!N39="Critical"),F39=0),"Critical role, no bench",IF(F39=0,"No successors identified",IF(G39=0,"No one ready now","Covered"))))</f>
      </c>
    </row>
    <row r="40" spans="1:7" x14ac:dyDescent="0.25">
      <c r="A40" s="23" t="s">
        <v>180</v>
      </c>
      <c r="B40" s="13">
        <f>SUM(B2:B39)</f>
      </c>
      <c r="C40" s="13">
        <f>SUM(C2:C39)</f>
      </c>
      <c r="D40" s="13">
        <f>SUM(D2:D39)</f>
      </c>
      <c r="E40" s="13">
        <f>SUM(E2:E39)</f>
      </c>
      <c r="F40" s="13">
        <f>SUM(F2:F39)</f>
      </c>
      <c r="G40" s="13">
        <f>SUM(G2:G39)</f>
      </c>
    </row>
    <row r="42" spans="1:8" x14ac:dyDescent="0.25">
      <c r="A42" s="12" t="s">
        <v>217</v>
      </c>
      <c r="B42" s="12"/>
      <c r="C42" s="12"/>
      <c r="D42" s="12"/>
      <c r="E42" s="12"/>
      <c r="F42" s="12"/>
      <c r="G42" s="12"/>
      <c r="H42" s="12"/>
    </row>
    <row r="43" ht="24" customHeight="1" spans="1:8" x14ac:dyDescent="0.25">
      <c r="A43" s="5" t="s">
        <v>169</v>
      </c>
      <c r="B43" s="6" t="s">
        <v>218</v>
      </c>
      <c r="C43" s="6"/>
      <c r="D43" s="6"/>
      <c r="E43" s="6"/>
      <c r="F43" s="6"/>
      <c r="G43" s="6"/>
      <c r="H43" s="6"/>
    </row>
    <row r="44" ht="24" customHeight="1" spans="1:8" x14ac:dyDescent="0.25">
      <c r="A44" s="5" t="s">
        <v>171</v>
      </c>
      <c r="B44" s="6" t="s">
        <v>219</v>
      </c>
      <c r="C44" s="6"/>
      <c r="D44" s="6"/>
      <c r="E44" s="6"/>
      <c r="F44" s="6"/>
      <c r="G44" s="6"/>
      <c r="H44" s="6"/>
    </row>
    <row r="45" ht="24" customHeight="1" spans="1:8" x14ac:dyDescent="0.25">
      <c r="A45" s="5" t="s">
        <v>220</v>
      </c>
      <c r="B45" s="6" t="s">
        <v>221</v>
      </c>
      <c r="C45" s="6"/>
      <c r="D45" s="6"/>
      <c r="E45" s="6"/>
      <c r="F45" s="6"/>
      <c r="G45" s="6"/>
      <c r="H45" s="6"/>
    </row>
  </sheetData>
  <mergeCells count="4">
    <mergeCell ref="A42:H42"/>
    <mergeCell ref="B43:H43"/>
    <mergeCell ref="B44:H44"/>
    <mergeCell ref="B45:H45"/>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pane ySplit="4" topLeftCell="A5" activePane="bottomLeft" state="frozen"/>
      <selection pane="bottomLeft"/>
    </sheetView>
  </sheetViews>
  <sheetFormatPr defaultRowHeight="15" outlineLevelRow="0" outlineLevelCol="0" x14ac:dyDescent="55"/>
  <cols>
    <col min="1" max="1" width="8" customWidth="1"/>
    <col min="2" max="2" width="52" customWidth="1"/>
    <col min="3" max="4" width="15" customWidth="1"/>
    <col min="5" max="5" width="10" customWidth="1"/>
    <col min="6" max="6" width="16" customWidth="1"/>
  </cols>
  <sheetData>
    <row r="1" spans="1:2" x14ac:dyDescent="0.25">
      <c r="A1" s="5" t="s">
        <v>222</v>
      </c>
      <c r="B1" s="20"/>
    </row>
    <row r="2" spans="1:2" x14ac:dyDescent="0.25">
      <c r="A2" s="5" t="s">
        <v>223</v>
      </c>
      <c r="B2" s="20"/>
    </row>
    <row r="4" ht="34" customHeight="1" spans="1:6" x14ac:dyDescent="0.25">
      <c r="A4" s="19" t="s">
        <v>224</v>
      </c>
      <c r="B4" s="19" t="s">
        <v>225</v>
      </c>
      <c r="C4" s="19" t="s">
        <v>226</v>
      </c>
      <c r="D4" s="19" t="s">
        <v>227</v>
      </c>
      <c r="E4" s="19" t="s">
        <v>228</v>
      </c>
      <c r="F4" s="19" t="s">
        <v>229</v>
      </c>
    </row>
    <row r="5" spans="1:6" x14ac:dyDescent="0.25">
      <c r="A5" s="16" t="s">
        <v>230</v>
      </c>
      <c r="B5" s="14" t="s">
        <v>231</v>
      </c>
      <c r="C5" s="15"/>
      <c r="D5" s="15"/>
      <c r="E5" s="16">
        <f>IF(OR(C5="",D5=""),"",D5-C5)</f>
      </c>
      <c r="F5" s="22">
        <f>IF(E5="","",IF(E5&gt;=0,"Meets","Below"))</f>
      </c>
    </row>
    <row r="6" spans="1:6" x14ac:dyDescent="0.25">
      <c r="A6" s="16" t="s">
        <v>232</v>
      </c>
      <c r="B6" s="14" t="s">
        <v>233</v>
      </c>
      <c r="C6" s="15"/>
      <c r="D6" s="15"/>
      <c r="E6" s="16">
        <f>IF(OR(C6="",D6=""),"",D6-C6)</f>
      </c>
      <c r="F6" s="22">
        <f>IF(E6="","",IF(E6&gt;=0,"Meets","Below"))</f>
      </c>
    </row>
    <row r="7" spans="1:6" x14ac:dyDescent="0.25">
      <c r="A7" s="16" t="s">
        <v>234</v>
      </c>
      <c r="B7" s="14" t="s">
        <v>235</v>
      </c>
      <c r="C7" s="15"/>
      <c r="D7" s="15"/>
      <c r="E7" s="16">
        <f>IF(OR(C7="",D7=""),"",D7-C7)</f>
      </c>
      <c r="F7" s="22">
        <f>IF(E7="","",IF(E7&gt;=0,"Meets","Below"))</f>
      </c>
    </row>
    <row r="8" spans="1:6" x14ac:dyDescent="0.25">
      <c r="A8" s="16" t="s">
        <v>236</v>
      </c>
      <c r="B8" s="14" t="s">
        <v>237</v>
      </c>
      <c r="C8" s="15"/>
      <c r="D8" s="15"/>
      <c r="E8" s="16">
        <f>IF(OR(C8="",D8=""),"",D8-C8)</f>
      </c>
      <c r="F8" s="22">
        <f>IF(E8="","",IF(E8&gt;=0,"Meets","Below"))</f>
      </c>
    </row>
    <row r="9" spans="1:6" x14ac:dyDescent="0.25">
      <c r="A9" s="16" t="s">
        <v>238</v>
      </c>
      <c r="B9" s="14" t="s">
        <v>239</v>
      </c>
      <c r="C9" s="15"/>
      <c r="D9" s="15"/>
      <c r="E9" s="16">
        <f>IF(OR(C9="",D9=""),"",D9-C9)</f>
      </c>
      <c r="F9" s="22">
        <f>IF(E9="","",IF(E9&gt;=0,"Meets","Below"))</f>
      </c>
    </row>
    <row r="10" spans="1:6" x14ac:dyDescent="0.25">
      <c r="A10" s="16" t="s">
        <v>240</v>
      </c>
      <c r="B10" s="14" t="s">
        <v>241</v>
      </c>
      <c r="C10" s="15"/>
      <c r="D10" s="15"/>
      <c r="E10" s="16">
        <f>IF(OR(C10="",D10=""),"",D10-C10)</f>
      </c>
      <c r="F10" s="22">
        <f>IF(E10="","",IF(E10&gt;=0,"Meets","Below"))</f>
      </c>
    </row>
    <row r="11" spans="1:6" x14ac:dyDescent="0.25">
      <c r="A11" s="16" t="s">
        <v>242</v>
      </c>
      <c r="B11" s="14" t="s">
        <v>243</v>
      </c>
      <c r="C11" s="15"/>
      <c r="D11" s="15"/>
      <c r="E11" s="16">
        <f>IF(OR(C11="",D11=""),"",D11-C11)</f>
      </c>
      <c r="F11" s="22">
        <f>IF(E11="","",IF(E11&gt;=0,"Meets","Below"))</f>
      </c>
    </row>
    <row r="12" spans="1:6" x14ac:dyDescent="0.25">
      <c r="A12" s="16" t="s">
        <v>244</v>
      </c>
      <c r="B12" s="14" t="s">
        <v>245</v>
      </c>
      <c r="C12" s="15"/>
      <c r="D12" s="15"/>
      <c r="E12" s="16">
        <f>IF(OR(C12="",D12=""),"",D12-C12)</f>
      </c>
      <c r="F12" s="22">
        <f>IF(E12="","",IF(E12&gt;=0,"Meets","Below"))</f>
      </c>
    </row>
    <row r="13" spans="1:6" x14ac:dyDescent="0.25">
      <c r="A13" s="16" t="s">
        <v>246</v>
      </c>
      <c r="B13" s="14" t="s">
        <v>247</v>
      </c>
      <c r="C13" s="15"/>
      <c r="D13" s="15"/>
      <c r="E13" s="16">
        <f>IF(OR(C13="",D13=""),"",D13-C13)</f>
      </c>
      <c r="F13" s="22">
        <f>IF(E13="","",IF(E13&gt;=0,"Meets","Below"))</f>
      </c>
    </row>
    <row r="14" spans="1:6" x14ac:dyDescent="0.25">
      <c r="A14" s="16" t="s">
        <v>248</v>
      </c>
      <c r="B14" s="14" t="s">
        <v>249</v>
      </c>
      <c r="C14" s="15"/>
      <c r="D14" s="15"/>
      <c r="E14" s="16">
        <f>IF(OR(C14="",D14=""),"",D14-C14)</f>
      </c>
      <c r="F14" s="22">
        <f>IF(E14="","",IF(E14&gt;=0,"Meets","Below"))</f>
      </c>
    </row>
    <row r="15" spans="1:6" x14ac:dyDescent="0.25">
      <c r="A15" s="16" t="s">
        <v>250</v>
      </c>
      <c r="B15" s="14" t="s">
        <v>251</v>
      </c>
      <c r="C15" s="15"/>
      <c r="D15" s="15"/>
      <c r="E15" s="16">
        <f>IF(OR(C15="",D15=""),"",D15-C15)</f>
      </c>
      <c r="F15" s="22">
        <f>IF(E15="","",IF(E15&gt;=0,"Meets","Below"))</f>
      </c>
    </row>
    <row r="16" spans="1:6" x14ac:dyDescent="0.25">
      <c r="A16" s="16" t="s">
        <v>252</v>
      </c>
      <c r="B16" s="14" t="s">
        <v>253</v>
      </c>
      <c r="C16" s="15"/>
      <c r="D16" s="15"/>
      <c r="E16" s="16">
        <f>IF(OR(C16="",D16=""),"",D16-C16)</f>
      </c>
      <c r="F16" s="22">
        <f>IF(E16="","",IF(E16&gt;=0,"Meets","Below"))</f>
      </c>
    </row>
    <row r="17" spans="1:6" x14ac:dyDescent="0.25">
      <c r="A17" s="16" t="s">
        <v>254</v>
      </c>
      <c r="B17" s="14" t="s">
        <v>255</v>
      </c>
      <c r="C17" s="15"/>
      <c r="D17" s="15"/>
      <c r="E17" s="16">
        <f>IF(OR(C17="",D17=""),"",D17-C17)</f>
      </c>
      <c r="F17" s="22">
        <f>IF(E17="","",IF(E17&gt;=0,"Meets","Below"))</f>
      </c>
    </row>
    <row r="18" spans="1:6" x14ac:dyDescent="0.25">
      <c r="A18" s="16" t="s">
        <v>256</v>
      </c>
      <c r="B18" s="14" t="s">
        <v>257</v>
      </c>
      <c r="C18" s="15"/>
      <c r="D18" s="15"/>
      <c r="E18" s="16">
        <f>IF(OR(C18="",D18=""),"",D18-C18)</f>
      </c>
      <c r="F18" s="22">
        <f>IF(E18="","",IF(E18&gt;=0,"Meets","Below"))</f>
      </c>
    </row>
    <row r="19" spans="1:6" x14ac:dyDescent="0.25">
      <c r="A19" s="16" t="s">
        <v>258</v>
      </c>
      <c r="B19" s="14" t="s">
        <v>259</v>
      </c>
      <c r="C19" s="15"/>
      <c r="D19" s="15"/>
      <c r="E19" s="16">
        <f>IF(OR(C19="",D19=""),"",D19-C19)</f>
      </c>
      <c r="F19" s="22">
        <f>IF(E19="","",IF(E19&gt;=0,"Meets","Below"))</f>
      </c>
    </row>
    <row r="20" spans="1:6" x14ac:dyDescent="0.25">
      <c r="A20" s="16" t="s">
        <v>260</v>
      </c>
      <c r="B20" s="14" t="s">
        <v>261</v>
      </c>
      <c r="C20" s="15"/>
      <c r="D20" s="15"/>
      <c r="E20" s="16">
        <f>IF(OR(C20="",D20=""),"",D20-C20)</f>
      </c>
      <c r="F20" s="22">
        <f>IF(E20="","",IF(E20&gt;=0,"Meets","Below"))</f>
      </c>
    </row>
    <row r="21" spans="1:6" x14ac:dyDescent="0.25">
      <c r="A21" s="16" t="s">
        <v>262</v>
      </c>
      <c r="B21" s="14" t="s">
        <v>263</v>
      </c>
      <c r="C21" s="15"/>
      <c r="D21" s="15"/>
      <c r="E21" s="16">
        <f>IF(OR(C21="",D21=""),"",D21-C21)</f>
      </c>
      <c r="F21" s="22">
        <f>IF(E21="","",IF(E21&gt;=0,"Meets","Below"))</f>
      </c>
    </row>
    <row r="22" spans="1:6" x14ac:dyDescent="0.25">
      <c r="A22" s="16" t="s">
        <v>264</v>
      </c>
      <c r="B22" s="14" t="s">
        <v>265</v>
      </c>
      <c r="C22" s="15"/>
      <c r="D22" s="15"/>
      <c r="E22" s="16">
        <f>IF(OR(C22="",D22=""),"",D22-C22)</f>
      </c>
      <c r="F22" s="22">
        <f>IF(E22="","",IF(E22&gt;=0,"Meets","Below"))</f>
      </c>
    </row>
    <row r="23" spans="1:6" x14ac:dyDescent="0.25">
      <c r="A23" s="16" t="s">
        <v>266</v>
      </c>
      <c r="B23" s="14" t="s">
        <v>267</v>
      </c>
      <c r="C23" s="15"/>
      <c r="D23" s="15"/>
      <c r="E23" s="16">
        <f>IF(OR(C23="",D23=""),"",D23-C23)</f>
      </c>
      <c r="F23" s="22">
        <f>IF(E23="","",IF(E23&gt;=0,"Meets","Below"))</f>
      </c>
    </row>
    <row r="24" spans="1:6" x14ac:dyDescent="0.25">
      <c r="A24" s="16" t="s">
        <v>268</v>
      </c>
      <c r="B24" s="14" t="s">
        <v>269</v>
      </c>
      <c r="C24" s="15"/>
      <c r="D24" s="15"/>
      <c r="E24" s="16">
        <f>IF(OR(C24="",D24=""),"",D24-C24)</f>
      </c>
      <c r="F24" s="22">
        <f>IF(E24="","",IF(E24&gt;=0,"Meets","Below"))</f>
      </c>
    </row>
    <row r="26" spans="2:3" x14ac:dyDescent="0.25">
      <c r="B26" s="3" t="s">
        <v>270</v>
      </c>
      <c r="C26" s="22">
        <f>COUNT(D5:D24)</f>
      </c>
    </row>
    <row r="27" spans="2:3" x14ac:dyDescent="0.25">
      <c r="B27" s="3" t="s">
        <v>271</v>
      </c>
      <c r="C27" s="22">
        <f>COUNTIF(F5:F24,"Meets")</f>
      </c>
    </row>
    <row r="28" spans="2:3" x14ac:dyDescent="0.25">
      <c r="B28" s="3" t="s">
        <v>272</v>
      </c>
      <c r="C28" s="24">
        <f>IFERROR(C27/C26,"")</f>
      </c>
    </row>
    <row r="30" spans="2:6" x14ac:dyDescent="0.25">
      <c r="B30" s="9" t="s">
        <v>273</v>
      </c>
      <c r="C30" s="9"/>
      <c r="D30" s="9"/>
      <c r="E30" s="9"/>
      <c r="F30" s="9"/>
    </row>
    <row r="31" spans="2:6" x14ac:dyDescent="0.25">
      <c r="B31" s="9"/>
      <c r="C31" s="9"/>
      <c r="D31" s="9"/>
      <c r="E31" s="9"/>
      <c r="F31" s="9"/>
    </row>
  </sheetData>
  <mergeCells count="1">
    <mergeCell ref="B30:F31"/>
  </mergeCells>
  <dataValidations count="3">
    <dataValidation type="list" allowBlank="1" showErrorMessage="1" errorTitle="Not a valid entry" error="Pick one of the listed values." sqref="B1">
      <formula1>'LIST OF POSITIONS'!$B$2:$B$39</formula1>
    </dataValidation>
    <dataValidation type="list" allowBlank="1" showErrorMessage="1" errorTitle="Not a valid entry" error="Pick one of the listed values." sqref="C10:D24">
      <formula1>"0,1,2,3,4,5"</formula1>
    </dataValidation>
    <dataValidation type="list" allowBlank="1" showErrorMessage="1" errorTitle="Not a valid entry" error="Pick one of the listed values." sqref="C5:D24">
      <formula1>"0,1,2,3,4,5"</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CONFIG</vt:lpstr>
      <vt:lpstr>LIST OF POSITIONS</vt:lpstr>
      <vt:lpstr>DEFINITION OF TERMS</vt:lpstr>
      <vt:lpstr>SUCCESSION PLANNING</vt:lpstr>
      <vt:lpstr>SUCCESSOR ASSESSMENT MATRIX</vt:lpstr>
      <vt:lpstr>SUCCESSION BENCH</vt:lpstr>
      <vt:lpstr>COMPETENCY POSITION PROFILE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Strategnosis Solutions OPC</dc:creator>
  <dc:title/>
  <dc:subject/>
  <dc:description/>
  <cp:keywords/>
  <cp:category/>
  <cp:lastModifiedBy>Unknown</cp:lastModifiedBy>
  <dcterms:created xsi:type="dcterms:W3CDTF">2026-08-16T00:19:57Z</dcterms:created>
  <dcterms:modified xsi:type="dcterms:W3CDTF">2026-08-16T00:19:57Z</dcterms:modified>
</cp:coreProperties>
</file>